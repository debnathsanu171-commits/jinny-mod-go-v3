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name="EM">Sheet2!$AA$2:$AA$33</definedName>
    <definedName name="Oranamate">Sheet2!$BD$3:$BD$34</definedName>
    <definedName name="TX_MDF">Sheet2!$Y$15:$Y$21</definedName>
    <definedName name="PLAIN_HDHMR">Sheet2!$B$211:$B$232</definedName>
    <definedName name="LAMINATED_HMR_PARTICLE">Sheet2!$B$194:$B$209</definedName>
    <definedName name="LAMINATED_HDHMR">Sheet2!$B$234:$B$280</definedName>
    <definedName name="AHPL">Sheet2!$AY$3:$AY$32</definedName>
    <definedName name="PLAIN_HMR_PARTICLE">Sheet2!$B$189:$B$192</definedName>
    <definedName name="PRODUCTS">Sheet2!$A$2:$A$20</definedName>
    <definedName name="ACRYLIC">Sheet2!$B$473</definedName>
    <definedName name="TYPE">Sheet2!$X$2:$X$11</definedName>
    <definedName name="PLAIN_BOILO">Sheet2!$B$429:$B$437</definedName>
    <definedName name="LAMINATED_BOILO">Sheet2!$B$439:$B$467</definedName>
    <definedName name="LM">Sheet2!$E$3:$E$175</definedName>
    <definedName name="Ornamate">Sheet2!$B$477</definedName>
    <definedName name="PLAIN_PARTICLE">Sheet2!$B$109:$B$127</definedName>
    <definedName name="LAMINATED_MDF">Sheet2!$B$41:$B$107</definedName>
    <definedName name="EDGE">Sheet2!$BI$3:$BI$34</definedName>
    <definedName name="PLAIN_HDHMR_DOOR">Sheet2!$B$282:$B$329</definedName>
    <definedName name="OM">Sheet2!$BD$3:$BD$34</definedName>
    <definedName name="TXD">Sheet2!$Z$7</definedName>
    <definedName name="LP">Sheet2!$I$3:$I$128</definedName>
    <definedName name="LMRD">Sheet2!$T$3:$T$128</definedName>
    <definedName name="FM_TX">Sheet2!$Z$8:$Z$11</definedName>
    <definedName name="PLAIN_MDF">Sheet2!$B$3:$B$39</definedName>
    <definedName name="EMBOSSED">Sheet2!$B$469</definedName>
    <definedName name="AH">Sheet2!$M$3:$M$13</definedName>
    <definedName name="EDGE_BAND">Sheet2!$BI$3:$BI$34</definedName>
    <definedName name="UV">Sheet2!$B$471</definedName>
    <definedName name="LAMINATED_HDHMR_DOOR">Sheet2!$B$331:$B$378</definedName>
    <definedName localSheetId="0" name="Z_CE96E5DA_0AC7_4DD6_B0FC_330A0E3CBA1D_.wvu.Cols">Sheet1!$K:$K</definedName>
    <definedName name="FM">Sheet2!$AP$3:$AP$6</definedName>
    <definedName name="LH">Sheet2!$T$3:$T$121</definedName>
    <definedName name="ACRYLIC_PLUS">Sheet2!$B$475</definedName>
    <definedName name="LAMINATED_PARTICLE">Sheet2!$B$129:$B$187</definedName>
    <definedName name="TX">Sheet2!$Z$2:$Z$3</definedName>
    <definedName name="HDHMR_METALLIC_DOOR">Sheet2!$B$380:$B$427</definedName>
    <definedName name="UM">Sheet2!$Q$3:$Q$185</definedName>
    <definedName name="LMR">Sheet2!$T$3:$T$175</definedName>
  </definedNames>
  <calcPr/>
</workbook>
</file>

<file path=xl/sharedStrings.xml><?xml version="1.0" encoding="utf-8"?>
<sst xmlns="http://schemas.openxmlformats.org/spreadsheetml/2006/main" count="2847" uniqueCount="1089">
  <si>
    <t>PRODUCTS</t>
  </si>
  <si>
    <t>PRODUCT CODE</t>
  </si>
  <si>
    <t>Customer Name 
(Billing Address, If Change)</t>
  </si>
  <si>
    <t>WEIGHT</t>
  </si>
  <si>
    <t>LM</t>
  </si>
  <si>
    <t>LP</t>
  </si>
  <si>
    <t>W.E.F</t>
  </si>
  <si>
    <t>AH</t>
  </si>
  <si>
    <t>UM</t>
  </si>
  <si>
    <t>Delivery Address (Mandatory)</t>
  </si>
  <si>
    <t>LMR</t>
  </si>
  <si>
    <t>LH</t>
  </si>
  <si>
    <t>TYPE</t>
  </si>
  <si>
    <t>TX</t>
  </si>
  <si>
    <t>EM</t>
  </si>
  <si>
    <t>CODE</t>
  </si>
  <si>
    <t>VLOOK</t>
  </si>
  <si>
    <t>LMRD</t>
  </si>
  <si>
    <t>FM</t>
  </si>
  <si>
    <t>AH+</t>
  </si>
  <si>
    <t>ornamate</t>
  </si>
  <si>
    <t>EDGE_BAND</t>
  </si>
  <si>
    <t>PLAIN_MDF</t>
  </si>
  <si>
    <t>Design No.</t>
  </si>
  <si>
    <t>Design Name</t>
  </si>
  <si>
    <t>Width</t>
  </si>
  <si>
    <t>RM</t>
  </si>
  <si>
    <t>MT</t>
  </si>
  <si>
    <t>EGYPTA</t>
  </si>
  <si>
    <t>Design No</t>
  </si>
  <si>
    <t>Design Name</t>
  </si>
  <si>
    <t xml:space="preserve">GRADE </t>
  </si>
  <si>
    <t xml:space="preserve">Shri gulabrai sons </t>
  </si>
  <si>
    <t>PO Number (MANDATORY)</t>
  </si>
  <si>
    <t>MD-RM</t>
  </si>
  <si>
    <t>LAMINATED_MDF</t>
  </si>
  <si>
    <t>01.90-I-8x4</t>
  </si>
  <si>
    <t>1001</t>
  </si>
  <si>
    <t>White Balancing</t>
  </si>
  <si>
    <t>Order Date</t>
  </si>
  <si>
    <t>8011</t>
  </si>
  <si>
    <t>Silver Cross Line</t>
  </si>
  <si>
    <t>1101</t>
  </si>
  <si>
    <t>Super White</t>
  </si>
  <si>
    <t>SD</t>
  </si>
  <si>
    <t>NATURA</t>
  </si>
  <si>
    <t>A</t>
  </si>
  <si>
    <t xml:space="preserve">MO No :- </t>
  </si>
  <si>
    <t xml:space="preserve">White Balancing </t>
  </si>
  <si>
    <t>4'</t>
  </si>
  <si>
    <t>Straight Grained</t>
  </si>
  <si>
    <t>ORDER WEIGHT(MT)</t>
  </si>
  <si>
    <t>LM-MD</t>
  </si>
  <si>
    <t>8050</t>
  </si>
  <si>
    <t>Super White GL</t>
  </si>
  <si>
    <t>Everest White</t>
  </si>
  <si>
    <t>PLAIN_PARTICLE</t>
  </si>
  <si>
    <t>02.10-I-8x4</t>
  </si>
  <si>
    <t>1002</t>
  </si>
  <si>
    <t>Frosty Balancing</t>
  </si>
  <si>
    <t>WRONG WEIGHT</t>
  </si>
  <si>
    <t>8012</t>
  </si>
  <si>
    <t>Brown Cross Line</t>
  </si>
  <si>
    <t>1102</t>
  </si>
  <si>
    <t xml:space="preserve">Contact Person :- </t>
  </si>
  <si>
    <t>RP</t>
  </si>
  <si>
    <t>WEB</t>
  </si>
  <si>
    <t>B</t>
  </si>
  <si>
    <t xml:space="preserve">Super White </t>
  </si>
  <si>
    <t>Smoke Zebrano</t>
  </si>
  <si>
    <t>OK WEIGHT</t>
  </si>
  <si>
    <t>LAMINATED_PARTICLE</t>
  </si>
  <si>
    <t>LP-PB</t>
  </si>
  <si>
    <t>8051</t>
  </si>
  <si>
    <t>Ivory White</t>
  </si>
  <si>
    <t>S.NO</t>
  </si>
  <si>
    <t>Frosty White</t>
  </si>
  <si>
    <t>02.70-E-8x4</t>
  </si>
  <si>
    <t>Thick.-SIZE</t>
  </si>
  <si>
    <t xml:space="preserve">
Shade Code</t>
  </si>
  <si>
    <t>Shade Name+</t>
  </si>
  <si>
    <t>Texture
/FMS</t>
  </si>
  <si>
    <t>8013</t>
  </si>
  <si>
    <t>GRADE
(A/B/C/CM)</t>
  </si>
  <si>
    <t>3D Mesh</t>
  </si>
  <si>
    <t>No. Of 
Boards</t>
  </si>
  <si>
    <t>1103</t>
  </si>
  <si>
    <t>WT</t>
  </si>
  <si>
    <t>Weight</t>
  </si>
  <si>
    <t>Remarks</t>
  </si>
  <si>
    <t>CROWN TEAK</t>
  </si>
  <si>
    <t>CM</t>
  </si>
  <si>
    <t>Chocolate Zebrano</t>
  </si>
  <si>
    <t>8052</t>
  </si>
  <si>
    <t>Beige</t>
  </si>
  <si>
    <t>Silver Grey</t>
  </si>
  <si>
    <t>LAMINATED_HDHMR</t>
  </si>
  <si>
    <t>PLAIN_HMR_PARTICLE</t>
  </si>
  <si>
    <t>02.70-E-8x7</t>
  </si>
  <si>
    <t>8014</t>
  </si>
  <si>
    <t>Checkered Red</t>
  </si>
  <si>
    <t>1104</t>
  </si>
  <si>
    <t>LAMINATED_HMR_PARTICLE</t>
  </si>
  <si>
    <t>18.00-E-8x4--BSL</t>
  </si>
  <si>
    <t>CUBOID</t>
  </si>
  <si>
    <t>1108</t>
  </si>
  <si>
    <t>C</t>
  </si>
  <si>
    <t>Teak Gold</t>
  </si>
  <si>
    <t>8053</t>
  </si>
  <si>
    <t>Cappuccino</t>
  </si>
  <si>
    <t>Gothic Grey</t>
  </si>
  <si>
    <t>03.30-I-8x4</t>
  </si>
  <si>
    <t>8015</t>
  </si>
  <si>
    <t>Checkered Beige</t>
  </si>
  <si>
    <t>1105</t>
  </si>
  <si>
    <t>Slate Grey</t>
  </si>
  <si>
    <t>PLAIN_HDHMR</t>
  </si>
  <si>
    <t>MR</t>
  </si>
  <si>
    <t>TXD</t>
  </si>
  <si>
    <t>FLORINA</t>
  </si>
  <si>
    <t xml:space="preserve">Silver Grey </t>
  </si>
  <si>
    <t xml:space="preserve"> </t>
  </si>
  <si>
    <t>8054</t>
  </si>
  <si>
    <t>Light Grey</t>
  </si>
  <si>
    <t>03.30-E-8x4</t>
  </si>
  <si>
    <t>8016</t>
  </si>
  <si>
    <t>Acrylic Red</t>
  </si>
  <si>
    <t>1106</t>
  </si>
  <si>
    <t>Black</t>
  </si>
  <si>
    <t>FM_TX</t>
  </si>
  <si>
    <t>PLUME</t>
  </si>
  <si>
    <t xml:space="preserve">Slate Grey  </t>
  </si>
  <si>
    <t>8055</t>
  </si>
  <si>
    <t>Ash Grey</t>
  </si>
  <si>
    <t>04.00-I-8x4</t>
  </si>
  <si>
    <t>8017</t>
  </si>
  <si>
    <t>Feather</t>
  </si>
  <si>
    <t>1107</t>
  </si>
  <si>
    <t>Cardinal Red</t>
  </si>
  <si>
    <t>UV</t>
  </si>
  <si>
    <t>VEINS</t>
  </si>
  <si>
    <t>8056</t>
  </si>
  <si>
    <t>Mocha Grey</t>
  </si>
  <si>
    <t>Irish Cream</t>
  </si>
  <si>
    <t>PLAIN_HDHMR_DOOR</t>
  </si>
  <si>
    <t>04.60-I-8x4</t>
  </si>
  <si>
    <t>8018</t>
  </si>
  <si>
    <t>Graphite Grey</t>
  </si>
  <si>
    <t>Marigold Yellow</t>
  </si>
  <si>
    <t>EMBOSSED</t>
  </si>
  <si>
    <t>FLORA</t>
  </si>
  <si>
    <t>8057</t>
  </si>
  <si>
    <t>Dark Grey</t>
  </si>
  <si>
    <t>Mud ash</t>
  </si>
  <si>
    <t>LAMINATED_HDHMR_DOOR</t>
  </si>
  <si>
    <t>04.60-I-6X4</t>
  </si>
  <si>
    <t>8019</t>
  </si>
  <si>
    <t>Super Mozaic</t>
  </si>
  <si>
    <t>1109</t>
  </si>
  <si>
    <t>Electric Blue</t>
  </si>
  <si>
    <t>ACRYLIC</t>
  </si>
  <si>
    <t>CHESS</t>
  </si>
  <si>
    <t>8058</t>
  </si>
  <si>
    <t>Black GL</t>
  </si>
  <si>
    <t>Mud Ash</t>
  </si>
  <si>
    <t>Mocha Brown</t>
  </si>
  <si>
    <t>HDHMR_METALLIC_DOOR</t>
  </si>
  <si>
    <t>05.50-I-10X4</t>
  </si>
  <si>
    <t>8022</t>
  </si>
  <si>
    <t>Brushed Grey</t>
  </si>
  <si>
    <t>1111</t>
  </si>
  <si>
    <t>Ivory</t>
  </si>
  <si>
    <t>MRD</t>
  </si>
  <si>
    <t>PETAL</t>
  </si>
  <si>
    <t>8059</t>
  </si>
  <si>
    <t>Matte Blue</t>
  </si>
  <si>
    <t>Ocean Green</t>
  </si>
  <si>
    <t>PLAIN_BOILO</t>
  </si>
  <si>
    <t>05.50-I-8x6</t>
  </si>
  <si>
    <t>8023</t>
  </si>
  <si>
    <t>1113</t>
  </si>
  <si>
    <t>AMOEBA</t>
  </si>
  <si>
    <t>8060</t>
  </si>
  <si>
    <t>Scarlet Red</t>
  </si>
  <si>
    <t>Persian Blue</t>
  </si>
  <si>
    <t>LAMINATED_BOILO</t>
  </si>
  <si>
    <t>05.50-I-8x4</t>
  </si>
  <si>
    <t>1115</t>
  </si>
  <si>
    <t>Spanish Green</t>
  </si>
  <si>
    <t>BUTTERFLY</t>
  </si>
  <si>
    <t>Alu Wave</t>
  </si>
  <si>
    <t>8061</t>
  </si>
  <si>
    <t>French Violet</t>
  </si>
  <si>
    <t>Night Grey</t>
  </si>
  <si>
    <t>05.50-E-8X4.</t>
  </si>
  <si>
    <t>1116</t>
  </si>
  <si>
    <t>Orange</t>
  </si>
  <si>
    <t>FABRIC</t>
  </si>
  <si>
    <t>8062</t>
  </si>
  <si>
    <t>Sage</t>
  </si>
  <si>
    <t>Pebble Beech</t>
  </si>
  <si>
    <t>07.00-I-8x4</t>
  </si>
  <si>
    <t>1118</t>
  </si>
  <si>
    <t>Burgandy Red</t>
  </si>
  <si>
    <t>Ornamate</t>
  </si>
  <si>
    <t>OM</t>
  </si>
  <si>
    <t>LEAF</t>
  </si>
  <si>
    <t>8063</t>
  </si>
  <si>
    <t>White Metallic</t>
  </si>
  <si>
    <t>Coral Pink</t>
  </si>
  <si>
    <t>07.30-E-8x4</t>
  </si>
  <si>
    <t>1119</t>
  </si>
  <si>
    <t>Parrot Green</t>
  </si>
  <si>
    <t>RH</t>
  </si>
  <si>
    <t>MATS</t>
  </si>
  <si>
    <t xml:space="preserve">Orange </t>
  </si>
  <si>
    <t>8064</t>
  </si>
  <si>
    <t>Silver Metallic</t>
  </si>
  <si>
    <t xml:space="preserve">Coral Pink </t>
  </si>
  <si>
    <t>Mouse Grey</t>
  </si>
  <si>
    <t>ACRYLIC_PLUS</t>
  </si>
  <si>
    <t>07.30-I-8X6</t>
  </si>
  <si>
    <t>1120</t>
  </si>
  <si>
    <t>AHPL</t>
  </si>
  <si>
    <t>HONEYCOMB</t>
  </si>
  <si>
    <t>8065</t>
  </si>
  <si>
    <t>Black Metallic</t>
  </si>
  <si>
    <t xml:space="preserve">Mouse Grey </t>
  </si>
  <si>
    <t>Warm Blue</t>
  </si>
  <si>
    <t>07.30-I-8x4</t>
  </si>
  <si>
    <t>1126</t>
  </si>
  <si>
    <t>Hutch Pink</t>
  </si>
  <si>
    <t>1123</t>
  </si>
  <si>
    <t>Dark Violet</t>
  </si>
  <si>
    <t xml:space="preserve">Ornamatte Edge Band Tape </t>
  </si>
  <si>
    <t>EDGE</t>
  </si>
  <si>
    <t>SANDMARKS</t>
  </si>
  <si>
    <t>Celestial Blue</t>
  </si>
  <si>
    <t>8066</t>
  </si>
  <si>
    <t>Blue Metallic</t>
  </si>
  <si>
    <t>Midnight Blue</t>
  </si>
  <si>
    <t>09.75-I-10X4</t>
  </si>
  <si>
    <t>1129</t>
  </si>
  <si>
    <t>Caribe</t>
  </si>
  <si>
    <t>KNURL</t>
  </si>
  <si>
    <t>8067</t>
  </si>
  <si>
    <t>Super White MT</t>
  </si>
  <si>
    <t>Wasabi Green</t>
  </si>
  <si>
    <t>09.75-I-8x4</t>
  </si>
  <si>
    <t>1133</t>
  </si>
  <si>
    <t>Pastel Orange</t>
  </si>
  <si>
    <t>SPIRALS</t>
  </si>
  <si>
    <t>8068</t>
  </si>
  <si>
    <t>Off White</t>
  </si>
  <si>
    <t>Warm Brown</t>
  </si>
  <si>
    <t>11.00-I-10X4</t>
  </si>
  <si>
    <t>1134</t>
  </si>
  <si>
    <t>1130</t>
  </si>
  <si>
    <t>Peanut</t>
  </si>
  <si>
    <t>SWIRL</t>
  </si>
  <si>
    <t>Peanut.</t>
  </si>
  <si>
    <t>8069</t>
  </si>
  <si>
    <t>Stone Grey</t>
  </si>
  <si>
    <t xml:space="preserve">Warm Brown </t>
  </si>
  <si>
    <t xml:space="preserve">Plum </t>
  </si>
  <si>
    <t>11.00-E-8x4.</t>
  </si>
  <si>
    <t>1135</t>
  </si>
  <si>
    <t>Olive</t>
  </si>
  <si>
    <t>1131</t>
  </si>
  <si>
    <t>TREAD MARK</t>
  </si>
  <si>
    <t>Mud Ash.</t>
  </si>
  <si>
    <t>8070</t>
  </si>
  <si>
    <t>Magma Grey</t>
  </si>
  <si>
    <t>Novel Walnut</t>
  </si>
  <si>
    <t>11.00-I-8x4</t>
  </si>
  <si>
    <t>1138</t>
  </si>
  <si>
    <t>Hong Kong Blue</t>
  </si>
  <si>
    <t>FLORAL</t>
  </si>
  <si>
    <t>8071</t>
  </si>
  <si>
    <t>Black MT</t>
  </si>
  <si>
    <t xml:space="preserve">Brown Cappuccino </t>
  </si>
  <si>
    <t>Natural Walnut</t>
  </si>
  <si>
    <t>11.00-I-8X6.</t>
  </si>
  <si>
    <t>1140</t>
  </si>
  <si>
    <t>Irish Blue</t>
  </si>
  <si>
    <t>VINE</t>
  </si>
  <si>
    <t>8072</t>
  </si>
  <si>
    <t>Stone Blue</t>
  </si>
  <si>
    <t xml:space="preserve">Novel Walnut </t>
  </si>
  <si>
    <t>Calm Nubuck</t>
  </si>
  <si>
    <t>14.50-I-8x4</t>
  </si>
  <si>
    <t>1141</t>
  </si>
  <si>
    <t>BLADE</t>
  </si>
  <si>
    <t xml:space="preserve">Olive  </t>
  </si>
  <si>
    <t>8073</t>
  </si>
  <si>
    <t>Soft Beige</t>
  </si>
  <si>
    <t xml:space="preserve">Natural Walnut </t>
  </si>
  <si>
    <t>Chic Nubuck</t>
  </si>
  <si>
    <t>16.00-I-8x4</t>
  </si>
  <si>
    <t>1142</t>
  </si>
  <si>
    <t>Pebble Beach</t>
  </si>
  <si>
    <t>1136</t>
  </si>
  <si>
    <t>JASMINE</t>
  </si>
  <si>
    <t>8074</t>
  </si>
  <si>
    <t>Dove Grey</t>
  </si>
  <si>
    <t xml:space="preserve">Milk Statuary Marble </t>
  </si>
  <si>
    <t>Auburn Oak</t>
  </si>
  <si>
    <t>16.50-I-8x4</t>
  </si>
  <si>
    <t>1143</t>
  </si>
  <si>
    <t>1137</t>
  </si>
  <si>
    <t>STENCIL</t>
  </si>
  <si>
    <t>8075</t>
  </si>
  <si>
    <t>Amazon Blue</t>
  </si>
  <si>
    <t xml:space="preserve">Calm Nubuck </t>
  </si>
  <si>
    <t>Carrara Marble</t>
  </si>
  <si>
    <t>16.50-I-8X6</t>
  </si>
  <si>
    <t>1144</t>
  </si>
  <si>
    <t>Chocolate</t>
  </si>
  <si>
    <t>CURLED</t>
  </si>
  <si>
    <t>8076</t>
  </si>
  <si>
    <t>Rose Beige</t>
  </si>
  <si>
    <t>Grey Stone</t>
  </si>
  <si>
    <t>17.00-I-10X4</t>
  </si>
  <si>
    <t>3001</t>
  </si>
  <si>
    <t>Natural Teak</t>
  </si>
  <si>
    <t>1139</t>
  </si>
  <si>
    <t>Pink Irish Cream</t>
  </si>
  <si>
    <t>OLIVE</t>
  </si>
  <si>
    <t xml:space="preserve">Natural Teak </t>
  </si>
  <si>
    <t>8077</t>
  </si>
  <si>
    <t>Graphite</t>
  </si>
  <si>
    <t xml:space="preserve">Virgin Oak </t>
  </si>
  <si>
    <t>Glacier Stone</t>
  </si>
  <si>
    <t>BRANCH (BOOKEDY BY NAME*)</t>
  </si>
  <si>
    <t>17.00-I-8x4</t>
  </si>
  <si>
    <t>3002</t>
  </si>
  <si>
    <t>Flowery Wenge</t>
  </si>
  <si>
    <t>DFFD</t>
  </si>
  <si>
    <t>GEOMETRIC</t>
  </si>
  <si>
    <t xml:space="preserve">TOTAL </t>
  </si>
  <si>
    <t xml:space="preserve">Flowery Wenge </t>
  </si>
  <si>
    <t>8078</t>
  </si>
  <si>
    <t>Beige Metallic</t>
  </si>
  <si>
    <t xml:space="preserve">Auburn Oak </t>
  </si>
  <si>
    <t>Brown Cappuccino</t>
  </si>
  <si>
    <t>17.00-E-8x4</t>
  </si>
  <si>
    <t>3003</t>
  </si>
  <si>
    <t>Highland Pine</t>
  </si>
  <si>
    <t>HEXA</t>
  </si>
  <si>
    <t xml:space="preserve">Highland Pine </t>
  </si>
  <si>
    <t>8079</t>
  </si>
  <si>
    <t>Steel Grey</t>
  </si>
  <si>
    <t xml:space="preserve">Carrara Marble </t>
  </si>
  <si>
    <t>Special Remarks / Discounts</t>
  </si>
  <si>
    <t>Milk Statuary Marble</t>
  </si>
  <si>
    <t>17.00-I-8X6.</t>
  </si>
  <si>
    <t>3007</t>
  </si>
  <si>
    <t>Lorraine Walnut</t>
  </si>
  <si>
    <t>TURNIP</t>
  </si>
  <si>
    <t>Note : Pls recheck before sending order to HO about - Weight / Delivery Address / Extra Discount / Remarks. No Complaints will be entertain there after</t>
  </si>
  <si>
    <t>Virgin Oak</t>
  </si>
  <si>
    <t>18.00-E-8x4.</t>
  </si>
  <si>
    <t>3008</t>
  </si>
  <si>
    <t>Straight Grained Wenge</t>
  </si>
  <si>
    <t xml:space="preserve">Straight Grained Wenge </t>
  </si>
  <si>
    <t xml:space="preserve">Glacier Stone </t>
  </si>
  <si>
    <t>White</t>
  </si>
  <si>
    <t>18.00-I-8x4</t>
  </si>
  <si>
    <t>3009</t>
  </si>
  <si>
    <t>Classic Planked Walnut</t>
  </si>
  <si>
    <t>18.00-I-8X6.</t>
  </si>
  <si>
    <t>1151</t>
  </si>
  <si>
    <t>3013</t>
  </si>
  <si>
    <t>New Country Light</t>
  </si>
  <si>
    <t>25.00-E-8x4.</t>
  </si>
  <si>
    <t>1152</t>
  </si>
  <si>
    <t>3015</t>
  </si>
  <si>
    <t>Sapelli</t>
  </si>
  <si>
    <t>25.00-I-8x4</t>
  </si>
  <si>
    <t>1153</t>
  </si>
  <si>
    <t>3016</t>
  </si>
  <si>
    <t>Inntal Beech</t>
  </si>
  <si>
    <t>Noce Di Vinci</t>
  </si>
  <si>
    <t>25.00-I-8X6.</t>
  </si>
  <si>
    <t>1154</t>
  </si>
  <si>
    <t>3017</t>
  </si>
  <si>
    <t>Mangfall Beech</t>
  </si>
  <si>
    <t>TX_MDF</t>
  </si>
  <si>
    <t>1155</t>
  </si>
  <si>
    <t>3018</t>
  </si>
  <si>
    <t>Ice Beech</t>
  </si>
  <si>
    <t>05.50-I-8x4-BSB</t>
  </si>
  <si>
    <t>1156</t>
  </si>
  <si>
    <t>Plum</t>
  </si>
  <si>
    <t>3019</t>
  </si>
  <si>
    <t>Khaya Mahogany</t>
  </si>
  <si>
    <t>05.50-I-8x4-OSL</t>
  </si>
  <si>
    <t>1157</t>
  </si>
  <si>
    <t>3020</t>
  </si>
  <si>
    <t>Thansau Maple</t>
  </si>
  <si>
    <t>Oxford Cherry</t>
  </si>
  <si>
    <t>05.50-I-8x4-BSL</t>
  </si>
  <si>
    <t>3021</t>
  </si>
  <si>
    <t>Mahogany</t>
  </si>
  <si>
    <t>07.30-I-8x4-BSB</t>
  </si>
  <si>
    <t>3022</t>
  </si>
  <si>
    <t>Moldau Acacia Light</t>
  </si>
  <si>
    <t>07.30-E-8x4-BSB</t>
  </si>
  <si>
    <t>3023</t>
  </si>
  <si>
    <t>Alberta Maple</t>
  </si>
  <si>
    <t>Moldau Acacia Dark</t>
  </si>
  <si>
    <t>07.30-I-8x4-OSL</t>
  </si>
  <si>
    <t>3024</t>
  </si>
  <si>
    <t>Bavarian Beech</t>
  </si>
  <si>
    <t>07.30-E-8x4-OSL</t>
  </si>
  <si>
    <t>3025</t>
  </si>
  <si>
    <t>New Coutry Dark</t>
  </si>
  <si>
    <t>07.30-E-8x4-BSL</t>
  </si>
  <si>
    <t>3026</t>
  </si>
  <si>
    <t>Elegant Teak</t>
  </si>
  <si>
    <t>07.30-I-8x4-BSL</t>
  </si>
  <si>
    <t>3027</t>
  </si>
  <si>
    <t>Swiss Oak</t>
  </si>
  <si>
    <t>07.30-I-8X6-BSB</t>
  </si>
  <si>
    <t>3028</t>
  </si>
  <si>
    <t>New Country Dark</t>
  </si>
  <si>
    <t>Indian Oak</t>
  </si>
  <si>
    <t>07.30-I-8X6-OSL</t>
  </si>
  <si>
    <t>3041</t>
  </si>
  <si>
    <t>Sand Cross Line</t>
  </si>
  <si>
    <t>07.30-I-8X6-BSL</t>
  </si>
  <si>
    <t>3045</t>
  </si>
  <si>
    <t>Choco Cross Line</t>
  </si>
  <si>
    <t>11.00-I-8x4-OSL</t>
  </si>
  <si>
    <t>3046</t>
  </si>
  <si>
    <t>Anicent Oak</t>
  </si>
  <si>
    <t>11.00-I-8x4-BSB</t>
  </si>
  <si>
    <t>3346</t>
  </si>
  <si>
    <t>Brushed Aluminum</t>
  </si>
  <si>
    <t xml:space="preserve">Teak Gold </t>
  </si>
  <si>
    <t>11.00-I-8x4-BSL</t>
  </si>
  <si>
    <t>3361</t>
  </si>
  <si>
    <t>Light Maple</t>
  </si>
  <si>
    <t>Fabric Red.</t>
  </si>
  <si>
    <t>11.00-E-8x4-BSL.</t>
  </si>
  <si>
    <t>3362</t>
  </si>
  <si>
    <t>Dark Maple</t>
  </si>
  <si>
    <t>Fabric Blue.</t>
  </si>
  <si>
    <t>11.00-E-8x4-OSL.</t>
  </si>
  <si>
    <t>3363</t>
  </si>
  <si>
    <t>Castle Oak</t>
  </si>
  <si>
    <t>Black Current.</t>
  </si>
  <si>
    <t>11.00-I-8X6-OSL.</t>
  </si>
  <si>
    <t>3364</t>
  </si>
  <si>
    <t>Choco Oak</t>
  </si>
  <si>
    <t>Night Silver.</t>
  </si>
  <si>
    <t>11.00-I-8X6-BSB.</t>
  </si>
  <si>
    <t>3365</t>
  </si>
  <si>
    <t>Exotic Teak</t>
  </si>
  <si>
    <t>Santose .</t>
  </si>
  <si>
    <t>11.00-I-8X6-BSL.</t>
  </si>
  <si>
    <t>3370</t>
  </si>
  <si>
    <t>Choco Walnut</t>
  </si>
  <si>
    <t>Smoke Zebrano .</t>
  </si>
  <si>
    <t>14.50-I-8x4-OSL</t>
  </si>
  <si>
    <t>3371</t>
  </si>
  <si>
    <t>Persian Walnut</t>
  </si>
  <si>
    <t>Gold Veneer.</t>
  </si>
  <si>
    <t>14.50-I-8x4-BSL</t>
  </si>
  <si>
    <t>3377</t>
  </si>
  <si>
    <t>Wenge Brown</t>
  </si>
  <si>
    <t>Dyed Woodstripe.</t>
  </si>
  <si>
    <t>16.00-I-8x4-BSL</t>
  </si>
  <si>
    <t>3043</t>
  </si>
  <si>
    <t>3386</t>
  </si>
  <si>
    <t>Grey Cross Line</t>
  </si>
  <si>
    <t>White Macasara.</t>
  </si>
  <si>
    <t>16.00-I-8x4-BSB</t>
  </si>
  <si>
    <t>3387</t>
  </si>
  <si>
    <t>Golden Cross Line</t>
  </si>
  <si>
    <t>Itallian Marble.</t>
  </si>
  <si>
    <t>16.00-I-8x4-OSL</t>
  </si>
  <si>
    <t>3390</t>
  </si>
  <si>
    <t>Brown Teak</t>
  </si>
  <si>
    <t>Yellow Gold Marble.</t>
  </si>
  <si>
    <t>16.00-I-8x4-OSR</t>
  </si>
  <si>
    <t>3063</t>
  </si>
  <si>
    <t>Golden Rustik Oak</t>
  </si>
  <si>
    <t>3402</t>
  </si>
  <si>
    <t>Thai Teak</t>
  </si>
  <si>
    <t>Granite.</t>
  </si>
  <si>
    <t>16.50-I-8x4-OSL</t>
  </si>
  <si>
    <t>3081</t>
  </si>
  <si>
    <t>Melbourne Acacia</t>
  </si>
  <si>
    <t>3403</t>
  </si>
  <si>
    <t>White Teak</t>
  </si>
  <si>
    <t>Rustic Ivory.</t>
  </si>
  <si>
    <t>16.50-I-8x4-BSL</t>
  </si>
  <si>
    <t>3090</t>
  </si>
  <si>
    <t>Medoc Walnut</t>
  </si>
  <si>
    <t>3404</t>
  </si>
  <si>
    <t>Fab Grey</t>
  </si>
  <si>
    <t>16.50-I-8x4-BSB</t>
  </si>
  <si>
    <t>3091</t>
  </si>
  <si>
    <t>3405</t>
  </si>
  <si>
    <t>Fab Chocos</t>
  </si>
  <si>
    <t>16.50-I-8x4-OSR</t>
  </si>
  <si>
    <t>3092</t>
  </si>
  <si>
    <t>African Walnut</t>
  </si>
  <si>
    <t>3406</t>
  </si>
  <si>
    <t>Fab Cream</t>
  </si>
  <si>
    <t>16.50-I-8X6-OSL</t>
  </si>
  <si>
    <t>3340</t>
  </si>
  <si>
    <t>Satin Wood</t>
  </si>
  <si>
    <t>3412</t>
  </si>
  <si>
    <t>Burma Teak</t>
  </si>
  <si>
    <t>16.50-I-8X6-BSL</t>
  </si>
  <si>
    <t>3341</t>
  </si>
  <si>
    <t>3413</t>
  </si>
  <si>
    <t>Linen Metallic</t>
  </si>
  <si>
    <t>16.50-I-8X6-BSB</t>
  </si>
  <si>
    <t>3342</t>
  </si>
  <si>
    <t>Tulip</t>
  </si>
  <si>
    <t>3415</t>
  </si>
  <si>
    <t>Laurel Oak Light</t>
  </si>
  <si>
    <t>16.50-I-8X6-OSR</t>
  </si>
  <si>
    <t>3343</t>
  </si>
  <si>
    <t>Red Samoa</t>
  </si>
  <si>
    <t>3416</t>
  </si>
  <si>
    <t>Laurel Oak Dark</t>
  </si>
  <si>
    <t>17.00-E-8x4-OSR</t>
  </si>
  <si>
    <t>3344</t>
  </si>
  <si>
    <t>Hickory</t>
  </si>
  <si>
    <t>3417</t>
  </si>
  <si>
    <t>Cherry Pine</t>
  </si>
  <si>
    <t>Ivory Beech</t>
  </si>
  <si>
    <t>17.00-E-8x4-OSL</t>
  </si>
  <si>
    <t>3345</t>
  </si>
  <si>
    <t>3418</t>
  </si>
  <si>
    <t>Ebony Walnut</t>
  </si>
  <si>
    <t>Alabaster Teak</t>
  </si>
  <si>
    <t>17.00-E-8x4-BSB</t>
  </si>
  <si>
    <t>3353</t>
  </si>
  <si>
    <t>Grey Marble</t>
  </si>
  <si>
    <t>3419</t>
  </si>
  <si>
    <t>Brazilian Walnut</t>
  </si>
  <si>
    <t>17.00-E-8x4-BSL</t>
  </si>
  <si>
    <t>3359</t>
  </si>
  <si>
    <t>Linen White</t>
  </si>
  <si>
    <t>3420</t>
  </si>
  <si>
    <t>Dark Choco Oak</t>
  </si>
  <si>
    <t>17.00-I-8x4-OSR</t>
  </si>
  <si>
    <t>3360</t>
  </si>
  <si>
    <t>Linen Black</t>
  </si>
  <si>
    <t>3421</t>
  </si>
  <si>
    <t>Gold Wood Oak</t>
  </si>
  <si>
    <t>17.00-I-8x4-OSL</t>
  </si>
  <si>
    <t>3423</t>
  </si>
  <si>
    <t>Elegant Walnut</t>
  </si>
  <si>
    <t>Mysore Teak</t>
  </si>
  <si>
    <t>17.00-I-8x4-BSL</t>
  </si>
  <si>
    <t>3424</t>
  </si>
  <si>
    <t>Dark Walnut</t>
  </si>
  <si>
    <t>17.00-I-8x4-BSB</t>
  </si>
  <si>
    <t>3425</t>
  </si>
  <si>
    <t>Teak Walnut</t>
  </si>
  <si>
    <t>Mesh Cream</t>
  </si>
  <si>
    <t>17.00-I-8x6-OSR.</t>
  </si>
  <si>
    <t>3428</t>
  </si>
  <si>
    <t>Brown Veneered Teak</t>
  </si>
  <si>
    <t>Mesh Gold</t>
  </si>
  <si>
    <t>17.00-I-8x6-OSL.</t>
  </si>
  <si>
    <t>3430</t>
  </si>
  <si>
    <t>Teak Cherry</t>
  </si>
  <si>
    <t>Mesh Brown</t>
  </si>
  <si>
    <t>17.00-I-8x6-BSL.</t>
  </si>
  <si>
    <t>3366</t>
  </si>
  <si>
    <t>Choco Marble</t>
  </si>
  <si>
    <t>3431</t>
  </si>
  <si>
    <t>American Oak Dark</t>
  </si>
  <si>
    <t>17.00-I-8x6-BSB.</t>
  </si>
  <si>
    <t>3367</t>
  </si>
  <si>
    <t>Stone Marble</t>
  </si>
  <si>
    <t>3433</t>
  </si>
  <si>
    <t>European Beech</t>
  </si>
  <si>
    <t>18.00-E-8x4-BSL.</t>
  </si>
  <si>
    <t>3439</t>
  </si>
  <si>
    <t>Smoky Brown Pear</t>
  </si>
  <si>
    <t>18.00-E-8x4-BSB.</t>
  </si>
  <si>
    <t>3440</t>
  </si>
  <si>
    <t>French Pear</t>
  </si>
  <si>
    <t>18.00-E-8x4--OSL</t>
  </si>
  <si>
    <t>3442</t>
  </si>
  <si>
    <t>Linen Light</t>
  </si>
  <si>
    <t>18.00-I-8x4-BSB</t>
  </si>
  <si>
    <t>3443</t>
  </si>
  <si>
    <t>Tweed Fab Beige</t>
  </si>
  <si>
    <t>Light Oak</t>
  </si>
  <si>
    <t>18.00-I-8x4-OSL</t>
  </si>
  <si>
    <t>3444</t>
  </si>
  <si>
    <t>Tweed Fab Grey</t>
  </si>
  <si>
    <t>Ivory Oak</t>
  </si>
  <si>
    <t>18.00-I-8x4-BSL</t>
  </si>
  <si>
    <t>3389</t>
  </si>
  <si>
    <t>3445</t>
  </si>
  <si>
    <t>Jute Fab Light</t>
  </si>
  <si>
    <t>18.00-I-8x6-BSB.</t>
  </si>
  <si>
    <t>3446</t>
  </si>
  <si>
    <t>Jute Fab Grey</t>
  </si>
  <si>
    <t>18.00-I-8x6-OSL.</t>
  </si>
  <si>
    <t>3394</t>
  </si>
  <si>
    <t>Linen Gold Black</t>
  </si>
  <si>
    <t>3447</t>
  </si>
  <si>
    <t>Jute Fab Dark</t>
  </si>
  <si>
    <t>Linen Ivory</t>
  </si>
  <si>
    <t>18.00-I-8x6-BSL.</t>
  </si>
  <si>
    <t>3395</t>
  </si>
  <si>
    <t>Leather Brown</t>
  </si>
  <si>
    <t>3450</t>
  </si>
  <si>
    <t>Cream Walnut</t>
  </si>
  <si>
    <t>25.00-E-8x4-BSB.</t>
  </si>
  <si>
    <t>3396</t>
  </si>
  <si>
    <t>Leather Grey</t>
  </si>
  <si>
    <t>3451</t>
  </si>
  <si>
    <t>Cambridge Walnut</t>
  </si>
  <si>
    <t>25.00-E-8x4-OSR.</t>
  </si>
  <si>
    <t>3397</t>
  </si>
  <si>
    <t>Cream Stone</t>
  </si>
  <si>
    <t>3452</t>
  </si>
  <si>
    <t>Fibre Rust</t>
  </si>
  <si>
    <t>25.00-E-8x4-BSL.</t>
  </si>
  <si>
    <t>3398</t>
  </si>
  <si>
    <t>Blue Stone</t>
  </si>
  <si>
    <t>3453</t>
  </si>
  <si>
    <t>Fibre Grey</t>
  </si>
  <si>
    <t>25.00-I-8x4-OSL</t>
  </si>
  <si>
    <t>3454</t>
  </si>
  <si>
    <t>Fibre Gold</t>
  </si>
  <si>
    <t>25.00-I-8x4-BSB</t>
  </si>
  <si>
    <t>3455</t>
  </si>
  <si>
    <t>Fibre Teak</t>
  </si>
  <si>
    <t>25.00-I-8x4-OSR</t>
  </si>
  <si>
    <t>3459</t>
  </si>
  <si>
    <t>Light Caramel Walnut</t>
  </si>
  <si>
    <t>25.00-I-8x4-BSL</t>
  </si>
  <si>
    <t>3460</t>
  </si>
  <si>
    <t>Umber Walnut</t>
  </si>
  <si>
    <t>25.00-I-8x6-OSL.</t>
  </si>
  <si>
    <t>3461</t>
  </si>
  <si>
    <t>25.00-I-8x6-BSB.</t>
  </si>
  <si>
    <t>3410</t>
  </si>
  <si>
    <t>Black Marble</t>
  </si>
  <si>
    <t>3462</t>
  </si>
  <si>
    <t>25.00-I-8x6-OSR.</t>
  </si>
  <si>
    <t>3411</t>
  </si>
  <si>
    <t>Golden Grey Marble</t>
  </si>
  <si>
    <t>3466</t>
  </si>
  <si>
    <t>Classic Siam Teak</t>
  </si>
  <si>
    <t>25.00-I-8x6-BSL.</t>
  </si>
  <si>
    <t>3468</t>
  </si>
  <si>
    <t>Dark Sonoma Oak</t>
  </si>
  <si>
    <t>25.00-E-8x4-OSL.</t>
  </si>
  <si>
    <t>3469</t>
  </si>
  <si>
    <t>3470</t>
  </si>
  <si>
    <t>Beige Walnut</t>
  </si>
  <si>
    <t>09.00-I-9X6</t>
  </si>
  <si>
    <t>3471</t>
  </si>
  <si>
    <t>09.00-I-8X6</t>
  </si>
  <si>
    <t>3472</t>
  </si>
  <si>
    <t>09.00-E-8X6</t>
  </si>
  <si>
    <t>3473</t>
  </si>
  <si>
    <t>11.00-I-9X6</t>
  </si>
  <si>
    <t>3474</t>
  </si>
  <si>
    <t>11.00-I-8X6</t>
  </si>
  <si>
    <t>3475</t>
  </si>
  <si>
    <t>12.00-I-9X6</t>
  </si>
  <si>
    <t>3476</t>
  </si>
  <si>
    <t>Tweed Dark</t>
  </si>
  <si>
    <t>12.00-I-8X6</t>
  </si>
  <si>
    <t>3477</t>
  </si>
  <si>
    <t>Tweed Light</t>
  </si>
  <si>
    <t>12.00-E--8X6</t>
  </si>
  <si>
    <t>3482</t>
  </si>
  <si>
    <t>15.00-I-8X6</t>
  </si>
  <si>
    <t>3426</t>
  </si>
  <si>
    <t>Wood Oak</t>
  </si>
  <si>
    <t>3483</t>
  </si>
  <si>
    <t>Black Gold Marble</t>
  </si>
  <si>
    <t>15.00-I-9X6</t>
  </si>
  <si>
    <t>3484</t>
  </si>
  <si>
    <t>Wood Bark</t>
  </si>
  <si>
    <t>17.00-I-9X6</t>
  </si>
  <si>
    <t>3429</t>
  </si>
  <si>
    <t>Golden Veneered Teak</t>
  </si>
  <si>
    <t>3485</t>
  </si>
  <si>
    <t>Rustic Bark</t>
  </si>
  <si>
    <t>17.00-I-8X6</t>
  </si>
  <si>
    <t>3486</t>
  </si>
  <si>
    <t>Vintage Wood</t>
  </si>
  <si>
    <t>18.00-I-9X6</t>
  </si>
  <si>
    <t>3432</t>
  </si>
  <si>
    <t>American Oak Light</t>
  </si>
  <si>
    <t>3487</t>
  </si>
  <si>
    <t>Rustic Blue</t>
  </si>
  <si>
    <t>18.00-I-8X6</t>
  </si>
  <si>
    <t>3488</t>
  </si>
  <si>
    <t>Mocha Walnut</t>
  </si>
  <si>
    <t>18.00-E-9X6</t>
  </si>
  <si>
    <t>3435</t>
  </si>
  <si>
    <t>Dark Urban Teak</t>
  </si>
  <si>
    <t>3489</t>
  </si>
  <si>
    <t>Texture Abalone</t>
  </si>
  <si>
    <t>18.00-E-8X6</t>
  </si>
  <si>
    <t>3436</t>
  </si>
  <si>
    <t>Mocca Firewood</t>
  </si>
  <si>
    <t>3490</t>
  </si>
  <si>
    <t>Fab Novel Grey</t>
  </si>
  <si>
    <t>25.00-I-9X6</t>
  </si>
  <si>
    <t>3437</t>
  </si>
  <si>
    <t>Skyline Walnut</t>
  </si>
  <si>
    <t>3491</t>
  </si>
  <si>
    <t>Fab Messi Grey</t>
  </si>
  <si>
    <t>25.00-I-8X6</t>
  </si>
  <si>
    <t>3438</t>
  </si>
  <si>
    <t>Weathered Ash</t>
  </si>
  <si>
    <t>3492</t>
  </si>
  <si>
    <t>Fab Vanilla</t>
  </si>
  <si>
    <t>25.00-E-8X6</t>
  </si>
  <si>
    <t>3493</t>
  </si>
  <si>
    <t>Texture Mink Grey</t>
  </si>
  <si>
    <t>3494</t>
  </si>
  <si>
    <t>Ash Walnut</t>
  </si>
  <si>
    <t>09.00-I-8X6-BSB</t>
  </si>
  <si>
    <t>3441</t>
  </si>
  <si>
    <t>Florance Walnut</t>
  </si>
  <si>
    <t>09.00-I-8X6-OSL</t>
  </si>
  <si>
    <t>09.00-I-8X6-BSL</t>
  </si>
  <si>
    <t>09.00-I-9X6-BSB</t>
  </si>
  <si>
    <t>09.00-I-9X6-OSL</t>
  </si>
  <si>
    <t>09.00-I-9X6-BSL</t>
  </si>
  <si>
    <t>11.00-I-8X6-OSL</t>
  </si>
  <si>
    <t>11.00-I-8X6-BSB</t>
  </si>
  <si>
    <t>11.00-I-8X6-BSL</t>
  </si>
  <si>
    <t>11.00-I-9X6-BSB</t>
  </si>
  <si>
    <t>11.00-I-9X6-BSL</t>
  </si>
  <si>
    <t>11.00-I-9X6-OSL</t>
  </si>
  <si>
    <t>12.00-E-8X6-OSL.</t>
  </si>
  <si>
    <t>12.00-E-8X6-BSL.</t>
  </si>
  <si>
    <t>3458</t>
  </si>
  <si>
    <t>Dark Caramel Walnut</t>
  </si>
  <si>
    <t>12.00-E-8X6-BSB.</t>
  </si>
  <si>
    <t>12.00-I-8X6-OSL</t>
  </si>
  <si>
    <t>12.00-I-8X6-BSB</t>
  </si>
  <si>
    <t>12.00-I-8X6-BSL</t>
  </si>
  <si>
    <t>12.00-I-9X6-BSB</t>
  </si>
  <si>
    <t>3463</t>
  </si>
  <si>
    <t>Oregon Oak</t>
  </si>
  <si>
    <t>12.00-I-9X6-BSL</t>
  </si>
  <si>
    <t>3464</t>
  </si>
  <si>
    <t>Sombre Chevron</t>
  </si>
  <si>
    <t>12.00-I-9X6-OSL</t>
  </si>
  <si>
    <t>3465</t>
  </si>
  <si>
    <t>Snug Chevron</t>
  </si>
  <si>
    <t>15.00-I-8X6-OSL</t>
  </si>
  <si>
    <t>15.00-I-8X6-BSB</t>
  </si>
  <si>
    <t>3467</t>
  </si>
  <si>
    <t>15.00-I-8X6-BSL</t>
  </si>
  <si>
    <t>17.00-I-8X6-BSB</t>
  </si>
  <si>
    <t>17.00-I-8X6-OSR</t>
  </si>
  <si>
    <t>17.00-I-8X6-OSL</t>
  </si>
  <si>
    <t>17.00-I-8X6-BSL</t>
  </si>
  <si>
    <t>17.00-I-9X6-BSB</t>
  </si>
  <si>
    <t>17.00-I-9X6-OSR</t>
  </si>
  <si>
    <t>17.00-I-9X6-OSL</t>
  </si>
  <si>
    <t>17.00-I-9X6-BSL</t>
  </si>
  <si>
    <t>18.00-E-8X6-OSR</t>
  </si>
  <si>
    <t>18.00-E-8X6-BSB</t>
  </si>
  <si>
    <t>3478</t>
  </si>
  <si>
    <t>Luminous Gold Marble</t>
  </si>
  <si>
    <t>18.00-E-8X6-OSL</t>
  </si>
  <si>
    <t>18.00-E-8X6-BSL</t>
  </si>
  <si>
    <t>18.00-I-8X6-OSL</t>
  </si>
  <si>
    <t>18.00-I-8X6-BSL</t>
  </si>
  <si>
    <t>18.00-I-8X6-BSB</t>
  </si>
  <si>
    <t>18.00-I-8X6-OSR</t>
  </si>
  <si>
    <t>18.00-E-9X6-BSL</t>
  </si>
  <si>
    <t>18.00-E-9X6-OSL</t>
  </si>
  <si>
    <t>18.00-E-9X6-OSR</t>
  </si>
  <si>
    <t>18.00-E-9X6-BSB</t>
  </si>
  <si>
    <t>18.00-I-9X6-BSB</t>
  </si>
  <si>
    <t>18.00-I-9X6-OSR</t>
  </si>
  <si>
    <t>18.00-I-9X6-BSL</t>
  </si>
  <si>
    <t>3594</t>
  </si>
  <si>
    <t>Hickory Walnut</t>
  </si>
  <si>
    <t>18.00-I-9X6-OSL</t>
  </si>
  <si>
    <t>25.00-I-8X6-OSL</t>
  </si>
  <si>
    <t>25.00-I-8X6-BSL</t>
  </si>
  <si>
    <t>25.00-I-8X6-BSB</t>
  </si>
  <si>
    <t>25.00-I-8X6-OSR</t>
  </si>
  <si>
    <t>25.00-I-9X6-OSL</t>
  </si>
  <si>
    <t>25.00-I-9X6-BSL</t>
  </si>
  <si>
    <t>GT-1104</t>
  </si>
  <si>
    <t>Silver Glitter</t>
  </si>
  <si>
    <t>25.00-I-9X6-BSB</t>
  </si>
  <si>
    <t>GT-1116</t>
  </si>
  <si>
    <t>Violet Gllitter</t>
  </si>
  <si>
    <t>25.00-I-9X6-OSR</t>
  </si>
  <si>
    <t>SP-1106</t>
  </si>
  <si>
    <t>Black Star Sparkle</t>
  </si>
  <si>
    <t>8000</t>
  </si>
  <si>
    <t>Acrylic Mix Design</t>
  </si>
  <si>
    <t>25.00-E-8X6-BSB</t>
  </si>
  <si>
    <t>SP-1107</t>
  </si>
  <si>
    <t>Cardinal Red Star Sparkle</t>
  </si>
  <si>
    <t>25.00-E-8X6-BSL</t>
  </si>
  <si>
    <t>25.00-E-8X6-OSL</t>
  </si>
  <si>
    <t>09.00-E-8X6.</t>
  </si>
  <si>
    <t>12.00-E-8X6.</t>
  </si>
  <si>
    <t>18.00-E-8X6.</t>
  </si>
  <si>
    <t>25.00-E-8X6.</t>
  </si>
  <si>
    <t>09.00-E-8X6-BSB.</t>
  </si>
  <si>
    <t>09.00-E-8X6-OSL.</t>
  </si>
  <si>
    <t>09.00-E-8X6-BSL.</t>
  </si>
  <si>
    <t>09.00-E-8X6-OSR.</t>
  </si>
  <si>
    <t>12.00-E-8X6-OSR.</t>
  </si>
  <si>
    <t>18.00-E-8X6-BSB..</t>
  </si>
  <si>
    <t>18.00-E-8X6-OSL..</t>
  </si>
  <si>
    <t>18.00-E-8X6-BSL..</t>
  </si>
  <si>
    <t>18.00-E-8X6-OSR.</t>
  </si>
  <si>
    <t>25.00-E-8X6-BSB..</t>
  </si>
  <si>
    <t>25.00-E-8X6-OSL..</t>
  </si>
  <si>
    <t>25.00-E-8X6-BSL..</t>
  </si>
  <si>
    <t>25.00-E-8X6-OSR.</t>
  </si>
  <si>
    <t>03.00-E-8x7</t>
  </si>
  <si>
    <t>03.00-E-8x4</t>
  </si>
  <si>
    <t>03.00-E-10X4</t>
  </si>
  <si>
    <t>05.50-E-10X4</t>
  </si>
  <si>
    <t>05.50-E-8x4</t>
  </si>
  <si>
    <t>07.50-E-8x4</t>
  </si>
  <si>
    <t>08.00-E-10X4.</t>
  </si>
  <si>
    <t>08.00-E-8x4.</t>
  </si>
  <si>
    <t>11.00-E-8x4</t>
  </si>
  <si>
    <t>12.00-E-10X4</t>
  </si>
  <si>
    <t>12.00-E-8x4.</t>
  </si>
  <si>
    <t>16.00-E-8x4.</t>
  </si>
  <si>
    <t>16.75-E-8x4.</t>
  </si>
  <si>
    <t>16.75-E-10X4</t>
  </si>
  <si>
    <t>18.00-E-10X4.</t>
  </si>
  <si>
    <t>18.00-E--8x4</t>
  </si>
  <si>
    <t>25.00-E-8x4</t>
  </si>
  <si>
    <t>25.00-E-10X4</t>
  </si>
  <si>
    <t>03.00-E-2155x795</t>
  </si>
  <si>
    <t>03.00-E-2155x869</t>
  </si>
  <si>
    <t>03.00-E-2155x945</t>
  </si>
  <si>
    <t>03.00-E-2155*1025</t>
  </si>
  <si>
    <t>03.00-E-8x4-OSL</t>
  </si>
  <si>
    <t>03.00-E-8x4-BSL</t>
  </si>
  <si>
    <t>03.00-E-8x4-BSB</t>
  </si>
  <si>
    <t>03.00-E-8x4-OSR</t>
  </si>
  <si>
    <t>05.50-E-8x4-BSL</t>
  </si>
  <si>
    <t>05.50-E-8x4-OSL</t>
  </si>
  <si>
    <t>05.50-E-8x4-BSB</t>
  </si>
  <si>
    <t>05.50-E-8x4-OSR</t>
  </si>
  <si>
    <t>07.50-E-8x4-OSL</t>
  </si>
  <si>
    <t>07.50-E-8x4-BSL</t>
  </si>
  <si>
    <t>07.50-E-8x4-OSR</t>
  </si>
  <si>
    <t>07.50-E-8x4-BSB</t>
  </si>
  <si>
    <t>07.50-E-8x4-ORD</t>
  </si>
  <si>
    <t>08.00-E-8x4-OSL.</t>
  </si>
  <si>
    <t>08.00-E-8x4-BSL.</t>
  </si>
  <si>
    <t>08.00-E-8x4-OSR.</t>
  </si>
  <si>
    <t>08.00-E-8x4-BSB.</t>
  </si>
  <si>
    <t>08.00-E-8x4-ORD</t>
  </si>
  <si>
    <t>11.00-E-8x4-OSL</t>
  </si>
  <si>
    <t>11.00-E-8x4-BSL</t>
  </si>
  <si>
    <t>11.00-E-8x4-OSR</t>
  </si>
  <si>
    <t>11.00-E-8x4-BSB</t>
  </si>
  <si>
    <t>11.00-E-8x4-ORD</t>
  </si>
  <si>
    <t>12.00-E-8x4-OSL.</t>
  </si>
  <si>
    <t>12.00-E-8x4-BSL.</t>
  </si>
  <si>
    <t>12.00-E-8x4-BSB.</t>
  </si>
  <si>
    <t>12.00-E-8x4-OSR.</t>
  </si>
  <si>
    <t>16.00-E-8x4-OSL.</t>
  </si>
  <si>
    <t>16.00-E-8x4-BSL.</t>
  </si>
  <si>
    <t>16.00-E-8x4-OSR.</t>
  </si>
  <si>
    <t>16.00-E-8x4-BSB.</t>
  </si>
  <si>
    <t>16.00-E-8x4-ORD</t>
  </si>
  <si>
    <t>16.75-E-8x4-BSL.</t>
  </si>
  <si>
    <t>16.75-E-8x4-OSL.</t>
  </si>
  <si>
    <t>16.75-E-8x4-ORD</t>
  </si>
  <si>
    <t>16.75-E-8x4-BSB.</t>
  </si>
  <si>
    <t>16.75-E-8x4-OSR.</t>
  </si>
  <si>
    <t>18.00-E-8x4- OSL</t>
  </si>
  <si>
    <t>18.00-E-8x4-OSR.</t>
  </si>
  <si>
    <t>18.00-E-8x4- BSB</t>
  </si>
  <si>
    <t>18.00-E-8x4-ORD</t>
  </si>
  <si>
    <t>25.00-E-8x4-BSL</t>
  </si>
  <si>
    <t>25.00-E-8x4-OSL</t>
  </si>
  <si>
    <t>25.00-E-8x4-BSB</t>
  </si>
  <si>
    <t>25.00-E-8x4-OSR</t>
  </si>
  <si>
    <t>25.00-E-8x4-ORD</t>
  </si>
  <si>
    <t>30.00-E-6.5x2.25</t>
  </si>
  <si>
    <t>30.00-E-6.5x2.5</t>
  </si>
  <si>
    <t>30.00-E-6.5x2.75</t>
  </si>
  <si>
    <t>30.00-E-6.5x3</t>
  </si>
  <si>
    <t>30.00-E-6.5x3.25</t>
  </si>
  <si>
    <t>30.00-E-6.5x3.5</t>
  </si>
  <si>
    <t>30.00-E-6.75x2.25</t>
  </si>
  <si>
    <t>30.00-E-6.75x2.5</t>
  </si>
  <si>
    <t>30.00-E-6.75x2.75</t>
  </si>
  <si>
    <t>30.00-E-6.75x3</t>
  </si>
  <si>
    <t>30.00-E-6.75x3.25</t>
  </si>
  <si>
    <t>30.00-E-6.75x3.5</t>
  </si>
  <si>
    <t>30.00-E-6.75x3.75</t>
  </si>
  <si>
    <t>30.00-E-7x2.5</t>
  </si>
  <si>
    <t>30.00-E-7x2.75</t>
  </si>
  <si>
    <t>30.00-E-7x3</t>
  </si>
  <si>
    <t>30.00-E-7x3.25</t>
  </si>
  <si>
    <t>30.00-E-7x3.5</t>
  </si>
  <si>
    <t>30.00-E-7x3.75</t>
  </si>
  <si>
    <t>30.00-E-7x4</t>
  </si>
  <si>
    <t>30.00-E-8x2.75</t>
  </si>
  <si>
    <t>30.00-E-8x3</t>
  </si>
  <si>
    <t>30.00-E-8x3.25</t>
  </si>
  <si>
    <t>30.00-E-8x3.5</t>
  </si>
  <si>
    <t>30.00-E-8x3.75</t>
  </si>
  <si>
    <t>30.00-E-8x4</t>
  </si>
  <si>
    <t>32.00-E-6.5x3.5</t>
  </si>
  <si>
    <t>32.00-E-6.75x2.25</t>
  </si>
  <si>
    <t>32.00-E-6.75x2.75</t>
  </si>
  <si>
    <t>32.00-E-6.75x3</t>
  </si>
  <si>
    <t>32.00-E-6.75x3.5</t>
  </si>
  <si>
    <t>32.00-E-6.75x3.75</t>
  </si>
  <si>
    <t>32.00-E-7x2.25</t>
  </si>
  <si>
    <t>32.00-E-7x2.5</t>
  </si>
  <si>
    <t>32.00-E-7x2.75</t>
  </si>
  <si>
    <t>32.00-E-7x3</t>
  </si>
  <si>
    <t>32.00-E-7x3.25</t>
  </si>
  <si>
    <t>32.00-E-7x3.5</t>
  </si>
  <si>
    <t>32.00-E-7x3.75</t>
  </si>
  <si>
    <t>32.00-E-7x4</t>
  </si>
  <si>
    <t>32.00-E-8x2.25</t>
  </si>
  <si>
    <t>32.00-E-8x2.5</t>
  </si>
  <si>
    <t>32.00-E-8x2.75</t>
  </si>
  <si>
    <t>32.00-E-8x3</t>
  </si>
  <si>
    <t>32.00-E-8x3.25</t>
  </si>
  <si>
    <t>32.00-E-8x3.5</t>
  </si>
  <si>
    <t>32.00-E-8x3.75</t>
  </si>
  <si>
    <t>32.00-E-8x4</t>
  </si>
  <si>
    <t>30.00-E-6.5x2.25-BSL.</t>
  </si>
  <si>
    <t>30.00-E-6.5x2.5-BSL.</t>
  </si>
  <si>
    <t>30.00-E-6.5x2.75-BSL.</t>
  </si>
  <si>
    <t>30.00-E-6.5x3-BSL.</t>
  </si>
  <si>
    <t>30.00-E-6.5x3.25-BSL.</t>
  </si>
  <si>
    <t>30.00-E-6.5x3.5-BSL.</t>
  </si>
  <si>
    <t>30.00-E-6.75x2.25-BSL.</t>
  </si>
  <si>
    <t>30.00-E-6.75x2.5-BSL.</t>
  </si>
  <si>
    <t>30.00-E-6.75x2.75-BSL.</t>
  </si>
  <si>
    <t>30.00-E-6.75x3-BSL.</t>
  </si>
  <si>
    <t>30.00-E-6.75x3.25-BSL.</t>
  </si>
  <si>
    <t>30.00-E-6.75x3.5-BSL.</t>
  </si>
  <si>
    <t>30.00-E-6.75x3.75-BSL.</t>
  </si>
  <si>
    <t>30.00-E-7x2.5-BSL.</t>
  </si>
  <si>
    <t>30.00-E-7x2.75-BSL.</t>
  </si>
  <si>
    <t>30.00-E-7x3-BSL.</t>
  </si>
  <si>
    <t>30.00-E-7x3.25-BSL.</t>
  </si>
  <si>
    <t>30.00-E-7x3.5-BSL.</t>
  </si>
  <si>
    <t>30.00-E-7x3.75-BSL.</t>
  </si>
  <si>
    <t>30.00-E-7x4-BSL.</t>
  </si>
  <si>
    <t>30.00-E-8x2.75-BSL.</t>
  </si>
  <si>
    <t>30.00-E-8x3-BSL.</t>
  </si>
  <si>
    <t>30.00-E-8x3.25-BSL.</t>
  </si>
  <si>
    <t>30.00-E-8x3.5-BSL.</t>
  </si>
  <si>
    <t>30.00-E-8x3.75-BSL.</t>
  </si>
  <si>
    <t>30.00-E-8x4-BSL.</t>
  </si>
  <si>
    <t>32.00-E-6.5x3.5-BSL.</t>
  </si>
  <si>
    <t>32.00-E-6.75x2.25-BSL.</t>
  </si>
  <si>
    <t>32.00-E-6.75x2.75-BSL.</t>
  </si>
  <si>
    <t>32.00-E-6.75x3-BSL.</t>
  </si>
  <si>
    <t>32.00-E-6.75x3.5-BSL.</t>
  </si>
  <si>
    <t>32.00-E-6.75x3.75-BSL.</t>
  </si>
  <si>
    <t>32.00-E-7x2.25-BSL.</t>
  </si>
  <si>
    <t>32.00-E-7x2.5-BSL.</t>
  </si>
  <si>
    <t>32.00-E-7x2.75-BSL.</t>
  </si>
  <si>
    <t>32.00-E-7x3-BSL.</t>
  </si>
  <si>
    <t>32.00-E-7x3.25-BSL.</t>
  </si>
  <si>
    <t>32.00-E-7x3.5-BSL.</t>
  </si>
  <si>
    <t>32.00-E-7x3.75-BSL.</t>
  </si>
  <si>
    <t>32.00-E-7x4-BSL.</t>
  </si>
  <si>
    <t>32.00-E-8x2.25-BSL.</t>
  </si>
  <si>
    <t>32.00-E-8x2.5-BSL.</t>
  </si>
  <si>
    <t>32.00-E-8x2.75-BSL.</t>
  </si>
  <si>
    <t>32.00-E-8x3-BSL.</t>
  </si>
  <si>
    <t>32.00-E-8x3.25-BSL.</t>
  </si>
  <si>
    <t>32.00-E-8x3.5-BSL.</t>
  </si>
  <si>
    <t>32.00-E-8x3.75-BSL.</t>
  </si>
  <si>
    <t>32.00-E-8x4-BSL.</t>
  </si>
  <si>
    <t>30.00-E-6.5x2.25-BSL</t>
  </si>
  <si>
    <t>30.00-E-6.5x2.5-BSL</t>
  </si>
  <si>
    <t>30.00-E-6.5x2.75-BSL</t>
  </si>
  <si>
    <t>30.00-E-6.5x3-BSL</t>
  </si>
  <si>
    <t>30.00-E-6.5x3.25-BSL</t>
  </si>
  <si>
    <t>30.00-E-6.5x3.5-BSL</t>
  </si>
  <si>
    <t>30.00-E-6.75x2.25-BSL</t>
  </si>
  <si>
    <t>30.00-E-6.75x2.5-BSL</t>
  </si>
  <si>
    <t>30.00-E-6.75x2.75-BSL</t>
  </si>
  <si>
    <t>30.00-E-6.75x3-BSL</t>
  </si>
  <si>
    <t>30.00-E-6.75x3.25-BSL</t>
  </si>
  <si>
    <t>30.00-E-6.75x3.5-BSL</t>
  </si>
  <si>
    <t>30.00-E-6.75x3.75-BSL</t>
  </si>
  <si>
    <t>30.00-E-7x2.5-BSL</t>
  </si>
  <si>
    <t>30.00-E-7x2.75-BSL</t>
  </si>
  <si>
    <t>30.00-E-7x3-BSL</t>
  </si>
  <si>
    <t>30.00-E-7x3.25-BSL</t>
  </si>
  <si>
    <t>30.00-E-7x3.5-BSL</t>
  </si>
  <si>
    <t>30.00-E-7x3.75-BSL</t>
  </si>
  <si>
    <t>30.00-E-7x4-BSL</t>
  </si>
  <si>
    <t>30.00-E-8x2.75-BSL</t>
  </si>
  <si>
    <t>30.00-E-8x3-BSL</t>
  </si>
  <si>
    <t>30.00-E-8x3.25-BSL</t>
  </si>
  <si>
    <t>30.00-E-8x3.5-BSL</t>
  </si>
  <si>
    <t>30.00-E-8x3.75-BSL</t>
  </si>
  <si>
    <t>30.00-E-8x4-BSL</t>
  </si>
  <si>
    <t>32.00-E-6.5x3.5-BSL</t>
  </si>
  <si>
    <t>32.00-E-6.75x2.25-BSL</t>
  </si>
  <si>
    <t>32.00-E-6.75x2.75-BSL</t>
  </si>
  <si>
    <t>32.00-E-6.75x3-BSL</t>
  </si>
  <si>
    <t>32.00-E-6.75x3.5-BSL</t>
  </si>
  <si>
    <t>32.00-E-6.75x3.75-BSL</t>
  </si>
  <si>
    <t>32.00-E-7x2.25-BSL</t>
  </si>
  <si>
    <t>32.00-E-7x2.5-BSL</t>
  </si>
  <si>
    <t>32.00-E-7x2.75-BSL</t>
  </si>
  <si>
    <t>32.00-E-7x3-BSL</t>
  </si>
  <si>
    <t>32.00-E-7x3.25-BSL</t>
  </si>
  <si>
    <t>32.00-E-7x3.5-BSL</t>
  </si>
  <si>
    <t>32.00-E-7x3.75-BSL</t>
  </si>
  <si>
    <t>32.00-E-7x4-BSL</t>
  </si>
  <si>
    <t>32.00-E-8x2.25-BSL</t>
  </si>
  <si>
    <t>32.00-E-8x2.5-BSL</t>
  </si>
  <si>
    <t>32.00-E-8x2.75-BSL</t>
  </si>
  <si>
    <t>32.00-E-8x3-BSL</t>
  </si>
  <si>
    <t>32.00-E-8x3.25-BSL</t>
  </si>
  <si>
    <t>32.00-E-8x3.5-BSL</t>
  </si>
  <si>
    <t>32.00-E-8x3.75-BSL</t>
  </si>
  <si>
    <t>32.00-E-8x4-BSL</t>
  </si>
  <si>
    <t>05.50_E_8x4</t>
  </si>
  <si>
    <t>08.00-E-8x4</t>
  </si>
  <si>
    <t>08.00-E-10X4</t>
  </si>
  <si>
    <t>12.00-E-8x4</t>
  </si>
  <si>
    <t>12.00-E-8X6</t>
  </si>
  <si>
    <t>16.00-E-8x4</t>
  </si>
  <si>
    <t>16.75-E-8x4</t>
  </si>
  <si>
    <t>18.00-E-8x4</t>
  </si>
  <si>
    <t>18.00-E-10X4</t>
  </si>
  <si>
    <t>05.50_E_8x4_BSL</t>
  </si>
  <si>
    <t>05.50_E_8x4_OSR</t>
  </si>
  <si>
    <t>05.50_E_8x4_BSB</t>
  </si>
  <si>
    <t>05.50_E_8x4_OSL</t>
  </si>
  <si>
    <t>05.50_E_8x4_ORD</t>
  </si>
  <si>
    <t>08.00-E-8x4-BSL</t>
  </si>
  <si>
    <t>08.00-E-8x4-OSR</t>
  </si>
  <si>
    <t>08.00-E-8x4-BSB</t>
  </si>
  <si>
    <t>08.00-E-8x4-OSL</t>
  </si>
  <si>
    <t>12.00-E-8x4-BSB</t>
  </si>
  <si>
    <t>12.00-E-8x4-OSL</t>
  </si>
  <si>
    <t>12.00-E-8x4-BSL</t>
  </si>
  <si>
    <t>12.00-E-8x4-OSR</t>
  </si>
  <si>
    <t>12.00-E-8x6-BSB</t>
  </si>
  <si>
    <t>12.00-E-8x6-OSL</t>
  </si>
  <si>
    <t>12.00-E-8x6-BSL</t>
  </si>
  <si>
    <t>12.00-E-8x6-OSR</t>
  </si>
  <si>
    <t>16.00-E-8x4-BSB</t>
  </si>
  <si>
    <t>16.00-E-8x4-OSL</t>
  </si>
  <si>
    <t>16.00-E-8x4-BSL</t>
  </si>
  <si>
    <t>16.00-E-8x4-OSR</t>
  </si>
  <si>
    <t>16.75-E-8x4-BSB</t>
  </si>
  <si>
    <t>16.75-E-8x4-OSR</t>
  </si>
  <si>
    <t>16.75-E-8x4-OSL</t>
  </si>
  <si>
    <t>16.75-E-8x4-BSL</t>
  </si>
  <si>
    <t>18.00-E-8x4-BSB</t>
  </si>
  <si>
    <t>18.00-E-8x4-OSR</t>
  </si>
  <si>
    <t>18.00-E- 8x4-OSL</t>
  </si>
  <si>
    <t>18.00-E-8x4-BSL</t>
  </si>
  <si>
    <t>02.30-I-8X4</t>
  </si>
  <si>
    <t>18.00- E-8x4-OSL</t>
  </si>
  <si>
    <t>ACRYLIC_MDF</t>
  </si>
  <si>
    <t>18.00-E-8x4-OSL</t>
  </si>
  <si>
    <t>18.00 -E-8x4-OSL.</t>
  </si>
  <si>
    <t>18.00-E-8x4-OSL.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</si>
</sst>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 mmm\ yy"/>
    <numFmt numFmtId="165" formatCode="#,##0.0000"/>
    <numFmt numFmtId="166" formatCode="#,##0.000"/>
  </numFmts>
  <fonts count="33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rgb="FF010000"/>
      <name val="Verdana"/>
    </font>
    <font>
      <b/>
      <sz val="14.0"/>
      <color theme="1"/>
      <name val="Libre Baskerville"/>
    </font>
    <font/>
    <font>
      <b/>
      <sz val="11.0"/>
      <color theme="1"/>
      <name val="Calibri"/>
    </font>
    <font>
      <b/>
      <sz val="11.0"/>
      <color theme="1"/>
      <name val="Libre Baskerville"/>
    </font>
    <font>
      <sz val="10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b/>
      <sz val="22.0"/>
      <color theme="1"/>
      <name val="Bahnschrift SemiLight"/>
    </font>
    <font>
      <b/>
      <sz val="10.0"/>
      <color theme="1"/>
      <name val="Calibri"/>
    </font>
    <font>
      <b/>
      <sz val="10.0"/>
      <color theme="1"/>
      <name val="Arial"/>
    </font>
    <font>
      <b/>
      <sz val="10.0"/>
      <color theme="1"/>
      <name val="Libre Baskerville"/>
    </font>
    <font>
      <b/>
      <sz val="13.0"/>
      <color rgb="FF000000"/>
      <name val="Calibri"/>
    </font>
    <font>
      <sz val="13.0"/>
      <color rgb="FF000000"/>
      <name val="Calibri"/>
    </font>
    <font>
      <b/>
      <sz val="20.0"/>
      <color theme="1"/>
      <name val="Arial"/>
    </font>
    <font>
      <b/>
      <sz val="20.0"/>
      <color theme="0"/>
      <name val="Times New Roman"/>
    </font>
    <font>
      <b/>
      <sz val="20.0"/>
      <color theme="1"/>
      <name val="Libre Baskerville"/>
    </font>
    <font>
      <b/>
      <sz val="12.0"/>
      <color theme="1"/>
      <name val="Libre Baskerville"/>
    </font>
    <font>
      <b/>
      <sz val="16.0"/>
      <color theme="1"/>
      <name val="Libre Baskerville"/>
    </font>
    <font>
      <sz val="11.0"/>
      <color theme="1"/>
      <name val="Libre Baskerville"/>
    </font>
    <font>
      <b/>
      <sz val="12.0"/>
      <color theme="1"/>
      <name val="Calibri"/>
    </font>
    <font>
      <b/>
      <sz val="11.0"/>
      <color theme="1"/>
      <name val="Times New Roman"/>
    </font>
    <font>
      <b/>
      <sz val="12.0"/>
      <color rgb="FF953734"/>
      <name val="Calibri"/>
    </font>
    <font>
      <b/>
      <sz val="10.0"/>
      <color rgb="FF000000"/>
      <name val="Arial"/>
    </font>
    <font>
      <sz val="11.0"/>
      <color rgb="FFFF0000"/>
      <name val="Calibri"/>
    </font>
    <font>
      <sz val="11.0"/>
      <color rgb="FF000000"/>
      <name val="Calibri"/>
    </font>
    <font>
      <b/>
      <sz val="12.0"/>
      <color rgb="FF0C0C0C"/>
      <name val="Libre Baskerville"/>
    </font>
    <font>
      <sz val="12.0"/>
      <color theme="1"/>
      <name val="Calibri"/>
    </font>
    <font>
      <sz val="10.0"/>
      <color rgb="FF000000"/>
      <name val="Calibri"/>
    </font>
    <font>
      <sz val="11.0"/>
      <color theme="1"/>
      <name val="Verdana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6FF66"/>
        <bgColor rgb="FF66FF66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</fills>
  <borders count="35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2" numFmtId="2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3" fillId="0" fontId="3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5" numFmtId="0" xfId="0" applyFont="1"/>
    <xf borderId="0" fillId="0" fontId="5" numFmtId="1" xfId="0" applyAlignment="1" applyFont="1" applyNumberFormat="1">
      <alignment horizontal="center"/>
    </xf>
    <xf borderId="6" fillId="0" fontId="6" numFmtId="0" xfId="0" applyAlignment="1" applyBorder="1" applyFont="1">
      <alignment horizontal="center"/>
    </xf>
    <xf borderId="2" fillId="0" fontId="7" numFmtId="0" xfId="0" applyAlignment="1" applyBorder="1" applyFont="1">
      <alignment horizontal="center" vertical="center"/>
    </xf>
    <xf borderId="7" fillId="0" fontId="4" numFmtId="0" xfId="0" applyBorder="1" applyFont="1"/>
    <xf borderId="4" fillId="0" fontId="8" numFmtId="0" xfId="0" applyAlignment="1" applyBorder="1" applyFont="1">
      <alignment horizontal="center"/>
    </xf>
    <xf borderId="4" fillId="0" fontId="9" numFmtId="0" xfId="0" applyBorder="1" applyFont="1"/>
    <xf borderId="0" fillId="0" fontId="5" numFmtId="0" xfId="0" applyAlignment="1" applyFont="1">
      <alignment horizontal="left"/>
    </xf>
    <xf borderId="8" fillId="0" fontId="4" numFmtId="0" xfId="0" applyBorder="1" applyFont="1"/>
    <xf borderId="9" fillId="0" fontId="4" numFmtId="0" xfId="0" applyBorder="1" applyFont="1"/>
    <xf borderId="3" fillId="2" fontId="10" numFmtId="164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/>
    </xf>
    <xf borderId="10" fillId="0" fontId="5" numFmtId="0" xfId="0" applyAlignment="1" applyBorder="1" applyFont="1">
      <alignment horizontal="left"/>
    </xf>
    <xf borderId="10" fillId="0" fontId="5" numFmtId="0" xfId="0" applyAlignment="1" applyBorder="1" applyFont="1">
      <alignment horizontal="center"/>
    </xf>
    <xf borderId="0" fillId="0" fontId="9" numFmtId="0" xfId="0" applyFont="1"/>
    <xf borderId="10" fillId="0" fontId="5" numFmtId="2" xfId="0" applyAlignment="1" applyBorder="1" applyFont="1" applyNumberFormat="1">
      <alignment horizontal="center"/>
    </xf>
    <xf borderId="2" fillId="0" fontId="7" numFmtId="1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2" fillId="0" fontId="11" numFmtId="1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2" fillId="0" fontId="9" numFmtId="0" xfId="0" applyAlignment="1" applyBorder="1" applyFont="1">
      <alignment horizontal="center"/>
    </xf>
    <xf borderId="2" fillId="0" fontId="5" numFmtId="0" xfId="0" applyAlignment="1" applyBorder="1" applyFont="1">
      <alignment horizontal="left"/>
    </xf>
    <xf borderId="2" fillId="0" fontId="9" numFmtId="0" xfId="0" applyAlignment="1" applyBorder="1" applyFont="1">
      <alignment vertical="top"/>
    </xf>
    <xf borderId="2" fillId="3" fontId="9" numFmtId="0" xfId="0" applyAlignment="1" applyBorder="1" applyFill="1" applyFont="1">
      <alignment vertical="top"/>
    </xf>
    <xf borderId="3" fillId="0" fontId="12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/>
    </xf>
    <xf borderId="4" fillId="0" fontId="12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4" fillId="0" fontId="12" numFmtId="15" xfId="0" applyAlignment="1" applyBorder="1" applyFont="1" applyNumberFormat="1">
      <alignment horizontal="center" vertical="center"/>
    </xf>
    <xf borderId="0" fillId="0" fontId="12" numFmtId="15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14" fillId="0" fontId="13" numFmtId="0" xfId="0" applyBorder="1" applyFont="1"/>
    <xf borderId="6" fillId="0" fontId="12" numFmtId="0" xfId="0" applyAlignment="1" applyBorder="1" applyFont="1">
      <alignment horizontal="center" vertical="center"/>
    </xf>
    <xf borderId="6" fillId="0" fontId="4" numFmtId="0" xfId="0" applyBorder="1" applyFont="1"/>
    <xf borderId="3" fillId="4" fontId="3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1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vertical="center"/>
    </xf>
    <xf borderId="13" fillId="0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vertical="center"/>
    </xf>
    <xf borderId="0" fillId="0" fontId="5" numFmtId="4" xfId="0" applyAlignment="1" applyFont="1" applyNumberFormat="1">
      <alignment horizontal="left"/>
    </xf>
    <xf borderId="17" fillId="0" fontId="16" numFmtId="4" xfId="0" applyAlignment="1" applyBorder="1" applyFont="1" applyNumberFormat="1">
      <alignment horizontal="center" shrinkToFit="0" vertical="center" wrapText="1"/>
    </xf>
    <xf borderId="18" fillId="0" fontId="4" numFmtId="0" xfId="0" applyBorder="1" applyFont="1"/>
    <xf borderId="19" fillId="5" fontId="17" numFmtId="4" xfId="0" applyAlignment="1" applyBorder="1" applyFill="1" applyFont="1" applyNumberFormat="1">
      <alignment horizontal="right" shrinkToFit="0" vertical="center" wrapText="1"/>
    </xf>
    <xf borderId="0" fillId="0" fontId="11" numFmtId="0" xfId="0" applyAlignment="1" applyFont="1">
      <alignment horizontal="center" vertical="center"/>
    </xf>
    <xf borderId="19" fillId="0" fontId="13" numFmtId="0" xfId="0" applyAlignment="1" applyBorder="1" applyFont="1">
      <alignment horizontal="left"/>
    </xf>
    <xf borderId="6" fillId="0" fontId="12" numFmtId="0" xfId="0" applyAlignment="1" applyBorder="1" applyFont="1">
      <alignment horizontal="left"/>
    </xf>
    <xf borderId="19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left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19" fillId="6" fontId="18" numFmtId="0" xfId="0" applyAlignment="1" applyBorder="1" applyFill="1" applyFont="1">
      <alignment horizontal="right" shrinkToFit="0" vertical="center" wrapText="1"/>
    </xf>
    <xf borderId="23" fillId="0" fontId="13" numFmtId="0" xfId="0" applyAlignment="1" applyBorder="1" applyFont="1">
      <alignment horizontal="center" vertical="center"/>
    </xf>
    <xf borderId="24" fillId="0" fontId="19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5" fillId="0" fontId="20" numFmtId="0" xfId="0" applyAlignment="1" applyBorder="1" applyFont="1">
      <alignment horizontal="center" shrinkToFit="0" vertical="center" wrapText="1"/>
    </xf>
    <xf borderId="0" fillId="0" fontId="21" numFmtId="0" xfId="0" applyFont="1"/>
    <xf borderId="26" fillId="0" fontId="5" numFmtId="0" xfId="0" applyAlignment="1" applyBorder="1" applyFont="1">
      <alignment horizontal="center"/>
    </xf>
    <xf borderId="2" fillId="0" fontId="22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vertical="center"/>
    </xf>
    <xf borderId="2" fillId="0" fontId="5" numFmtId="1" xfId="0" applyAlignment="1" applyBorder="1" applyFont="1" applyNumberFormat="1">
      <alignment horizontal="center" shrinkToFit="0" wrapText="1"/>
    </xf>
    <xf borderId="2" fillId="0" fontId="23" numFmtId="0" xfId="0" applyAlignment="1" applyBorder="1" applyFont="1">
      <alignment horizontal="left"/>
    </xf>
    <xf borderId="2" fillId="0" fontId="5" numFmtId="0" xfId="0" applyAlignment="1" applyBorder="1" applyFont="1">
      <alignment horizontal="center" vertical="center"/>
    </xf>
    <xf borderId="2" fillId="0" fontId="24" numFmtId="2" xfId="0" applyAlignment="1" applyBorder="1" applyFont="1" applyNumberFormat="1">
      <alignment horizontal="center" vertical="center"/>
    </xf>
    <xf borderId="0" fillId="0" fontId="22" numFmtId="0" xfId="0" applyFont="1"/>
    <xf borderId="2" fillId="0" fontId="24" numFmtId="0" xfId="0" applyAlignment="1" applyBorder="1" applyFont="1">
      <alignment horizontal="center" vertical="center"/>
    </xf>
    <xf borderId="27" fillId="7" fontId="1" numFmtId="0" xfId="0" applyAlignment="1" applyBorder="1" applyFill="1" applyFont="1">
      <alignment horizontal="left" shrinkToFit="0" wrapText="1"/>
    </xf>
    <xf borderId="2" fillId="7" fontId="5" numFmtId="0" xfId="0" applyAlignment="1" applyBorder="1" applyFill="1" applyFont="1">
      <alignment vertical="center"/>
    </xf>
    <xf borderId="0" fillId="0" fontId="1" numFmtId="0" xfId="0" applyFont="1"/>
    <xf borderId="0" fillId="0" fontId="25" numFmtId="4" xfId="0" applyAlignment="1" applyFont="1" applyNumberFormat="1">
      <alignment horizontal="left"/>
    </xf>
    <xf borderId="28" fillId="0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 shrinkToFit="0" vertical="center" wrapText="1"/>
    </xf>
    <xf borderId="29" fillId="0" fontId="22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24" numFmtId="0" xfId="0" applyAlignment="1" applyBorder="1" applyFont="1">
      <alignment vertical="center"/>
    </xf>
    <xf borderId="19" fillId="0" fontId="1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13" fillId="0" fontId="26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/>
    </xf>
    <xf borderId="13" fillId="0" fontId="27" numFmtId="0" xfId="0" applyAlignment="1" applyBorder="1" applyFont="1">
      <alignment vertical="center"/>
    </xf>
    <xf borderId="19" fillId="0" fontId="3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left" shrinkToFit="0" vertical="top" wrapText="1"/>
    </xf>
    <xf borderId="19" fillId="0" fontId="28" numFmtId="0" xfId="0" applyAlignment="1" applyBorder="1" applyFont="1">
      <alignment horizontal="center" shrinkToFit="0" vertical="center" wrapText="1"/>
    </xf>
    <xf borderId="0" fillId="0" fontId="29" numFmtId="0" xfId="0" applyFont="1"/>
    <xf borderId="0" fillId="0" fontId="5" numFmtId="14" xfId="0" applyFont="1" applyNumberFormat="1"/>
    <xf borderId="0" fillId="0" fontId="5" numFmtId="165" xfId="0" applyFont="1" applyNumberFormat="1"/>
    <xf borderId="0" fillId="0" fontId="5" numFmtId="4" xfId="0" applyFont="1" applyNumberFormat="1"/>
    <xf borderId="2" fillId="8" fontId="9" numFmtId="0" xfId="0" applyAlignment="1" applyBorder="1" applyFill="1" applyFont="1">
      <alignment vertical="top"/>
    </xf>
    <xf borderId="0" fillId="0" fontId="5" numFmtId="2" xfId="0" applyAlignment="1" applyFont="1" applyNumberFormat="1">
      <alignment horizontal="left"/>
    </xf>
    <xf borderId="2" fillId="0" fontId="30" numFmtId="0" xfId="0" applyAlignment="1" applyBorder="1" applyFont="1">
      <alignment horizontal="center" vertical="center"/>
    </xf>
    <xf borderId="34" fillId="9" fontId="31" numFmtId="0" xfId="0" applyAlignment="1" applyBorder="1" applyFill="1" applyFont="1">
      <alignment horizontal="center" vertical="top"/>
    </xf>
    <xf borderId="0" fillId="0" fontId="32" numFmtId="166" xfId="0" applyFont="1" applyNumberFormat="1"/>
    <xf borderId="0" fillId="0" fontId="32" numFmtId="4" xfId="0" applyFont="1" applyNumberFormat="1"/>
    <xf borderId="0" fillId="0" fontId="5" numFmtId="166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5" numFmtId="9" xfId="0" applyFont="1" applyNumberFormat="1"/>
    <xf borderId="0" fillId="0" fontId="32" numFmtId="3" xfId="0" applyFont="1" applyNumberFormat="1"/>
    <xf borderId="0" fillId="0" fontId="32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247650</xdr:colOff>
      <xdr:row>8</xdr:row>
      <xdr:rowOff>38100</xdr:rowOff>
    </xdr:from>
    <xdr:ext cx="1276350" cy="247650"/>
    <xdr:sp>
      <xdr:nvSpPr>
        <xdr:cNvPr id="3" name="Shape 3"/>
        <xdr:cNvSpPr/>
      </xdr:nvSpPr>
      <xdr:spPr>
        <a:xfrm>
          <a:off x="4722113" y="3670463"/>
          <a:ext cx="1247775" cy="219075"/>
        </a:xfrm>
        <a:prstGeom prst="leftArrow">
          <a:avLst>
            <a:gd fmla="val 50000" name="adj1"/>
            <a:gd fmla="val 50000" name="adj2"/>
          </a:avLst>
        </a:prstGeom>
        <a:solidFill>
          <a:srgbClr val="FFFFFF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11</xdr:col>
      <xdr:colOff>323850</xdr:colOff>
      <xdr:row>9</xdr:row>
      <xdr:rowOff>66675</xdr:rowOff>
    </xdr:from>
    <xdr:ext cx="1276350" cy="247650"/>
    <xdr:sp>
      <xdr:nvSpPr>
        <xdr:cNvPr id="4" name="Shape 4"/>
        <xdr:cNvSpPr/>
      </xdr:nvSpPr>
      <xdr:spPr>
        <a:xfrm>
          <a:off x="4717350" y="3670463"/>
          <a:ext cx="1257300" cy="219075"/>
        </a:xfrm>
        <a:prstGeom prst="leftArrow">
          <a:avLst>
            <a:gd fmla="val 50000" name="adj1"/>
            <a:gd fmla="val 50000" name="adj2"/>
          </a:avLst>
        </a:prstGeom>
        <a:solidFill>
          <a:srgbClr val="FFFFFF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0.57"/>
    <col customWidth="1" hidden="1" min="3" max="3" width="10.57"/>
    <col customWidth="1" min="4" max="4" width="20.86"/>
    <col customWidth="1" min="5" max="5" width="12.43"/>
    <col customWidth="1" min="6" max="6" width="30.29"/>
    <col customWidth="1" hidden="1" min="7" max="7" width="10.0"/>
    <col customWidth="1" min="8" max="8" width="10.57"/>
    <col customWidth="1" min="9" max="9" width="13.14"/>
    <col customWidth="1" min="10" max="10" width="12.43"/>
    <col customWidth="1" hidden="1" min="11" max="11" width="7.0"/>
    <col customWidth="1" min="12" max="12" width="10.57"/>
    <col customWidth="1" min="13" max="13" width="42.57"/>
    <col customWidth="1" min="14" max="14" width="0.57"/>
    <col customWidth="1" min="15" max="16" width="9.14"/>
    <col customWidth="1" min="17" max="17" width="14.43"/>
    <col customWidth="1" min="18" max="26" width="9.14"/>
  </cols>
  <sheetData>
    <row r="1" ht="15.0" customHeight="1">
      <c r="A1" s="5" t="s">
        <v>2</v>
      </c>
      <c r="B1" s="7"/>
      <c r="C1" s="7"/>
      <c r="D1" s="8"/>
      <c r="E1" s="11" t="s">
        <v>6</v>
      </c>
      <c r="F1" s="13"/>
      <c r="G1" s="14"/>
      <c r="H1" s="5" t="s">
        <v>9</v>
      </c>
      <c r="I1" s="7"/>
      <c r="J1" s="7"/>
      <c r="K1" s="7"/>
      <c r="L1" s="7"/>
      <c r="M1" s="8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0" customHeight="1">
      <c r="A2" s="17"/>
      <c r="D2" s="18"/>
      <c r="E2" s="19">
        <v>45962.0</v>
      </c>
      <c r="F2" s="8"/>
      <c r="G2" s="20"/>
      <c r="H2" s="17"/>
      <c r="M2" s="18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30"/>
      <c r="B3" s="31"/>
      <c r="C3" s="31"/>
      <c r="D3" s="32"/>
      <c r="E3" s="30"/>
      <c r="F3" s="32"/>
      <c r="G3" s="33"/>
      <c r="H3" s="30"/>
      <c r="I3" s="31"/>
      <c r="J3" s="31"/>
      <c r="K3" s="31"/>
      <c r="L3" s="31"/>
      <c r="M3" s="32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37" t="s">
        <v>32</v>
      </c>
      <c r="B4" s="7"/>
      <c r="C4" s="7"/>
      <c r="D4" s="8"/>
      <c r="E4" s="39" t="s">
        <v>33</v>
      </c>
      <c r="G4" s="40"/>
      <c r="H4" s="37"/>
      <c r="I4" s="7"/>
      <c r="J4" s="7"/>
      <c r="K4" s="7"/>
      <c r="L4" s="7"/>
      <c r="M4" s="8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17"/>
      <c r="D5" s="18"/>
      <c r="E5" s="41"/>
      <c r="F5" s="8"/>
      <c r="G5" s="43"/>
      <c r="H5" s="17"/>
      <c r="M5" s="18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17"/>
      <c r="D6" s="18"/>
      <c r="E6" s="31"/>
      <c r="F6" s="32"/>
      <c r="G6" s="43"/>
      <c r="H6" s="17"/>
      <c r="M6" s="18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17"/>
      <c r="D7" s="18"/>
      <c r="E7" s="39" t="s">
        <v>39</v>
      </c>
      <c r="G7" s="40"/>
      <c r="H7" s="17"/>
      <c r="M7" s="18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30"/>
      <c r="B8" s="31"/>
      <c r="C8" s="31"/>
      <c r="D8" s="32"/>
      <c r="E8" s="46">
        <v>46162.0</v>
      </c>
      <c r="F8" s="8"/>
      <c r="G8" s="47"/>
      <c r="H8" s="17"/>
      <c r="M8" s="18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5.5" customHeight="1">
      <c r="A9" s="49" t="s">
        <v>47</v>
      </c>
      <c r="B9" s="50"/>
      <c r="C9" s="51"/>
      <c r="D9" s="13"/>
      <c r="E9" s="31"/>
      <c r="F9" s="32"/>
      <c r="G9" s="47"/>
      <c r="H9" s="52" t="s">
        <v>51</v>
      </c>
      <c r="I9" s="53"/>
      <c r="J9" s="59">
        <f>L33/1000</f>
        <v>0.04737</v>
      </c>
      <c r="K9" s="60"/>
      <c r="L9" s="61" t="s">
        <v>60</v>
      </c>
      <c r="M9" s="1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0.75" customHeight="1">
      <c r="A10" s="63" t="s">
        <v>64</v>
      </c>
      <c r="B10" s="51"/>
      <c r="C10" s="64"/>
      <c r="D10" s="65"/>
      <c r="E10" s="13"/>
      <c r="F10" s="66"/>
      <c r="G10" s="66"/>
      <c r="H10" s="30"/>
      <c r="I10" s="67"/>
      <c r="J10" s="68"/>
      <c r="K10" s="69"/>
      <c r="L10" s="70" t="s">
        <v>70</v>
      </c>
      <c r="M10" s="1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30.0" customHeight="1">
      <c r="A11" s="71" t="s">
        <v>75</v>
      </c>
      <c r="B11" s="72" t="s">
        <v>0</v>
      </c>
      <c r="C11" s="72" t="s">
        <v>12</v>
      </c>
      <c r="D11" s="72" t="s">
        <v>78</v>
      </c>
      <c r="E11" s="73" t="s">
        <v>79</v>
      </c>
      <c r="F11" s="74" t="s">
        <v>80</v>
      </c>
      <c r="G11" s="73"/>
      <c r="H11" s="75" t="s">
        <v>81</v>
      </c>
      <c r="I11" s="73" t="s">
        <v>83</v>
      </c>
      <c r="J11" s="73" t="s">
        <v>85</v>
      </c>
      <c r="K11" s="73" t="s">
        <v>87</v>
      </c>
      <c r="L11" s="73" t="s">
        <v>88</v>
      </c>
      <c r="M11" s="76" t="s">
        <v>89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5.75" customHeight="1">
      <c r="A12" s="78">
        <v>1.0</v>
      </c>
      <c r="B12" s="79" t="s">
        <v>96</v>
      </c>
      <c r="C12" s="79" t="str">
        <f>VLOOKUP(B12,Sheet2!W:X,2,FALSE)</f>
        <v>LMR</v>
      </c>
      <c r="D12" s="80" t="s">
        <v>103</v>
      </c>
      <c r="E12" s="81" t="s">
        <v>105</v>
      </c>
      <c r="F12" s="82" t="str">
        <f>IFERROR(VLOOKUP(E12,Sheet2!AD:AE,2,0),"")</f>
        <v>Marigold Yellow</v>
      </c>
      <c r="G12" s="82" t="str">
        <f>VLOOKUP(B12,Sheet2!B:D,3,FALSE)</f>
        <v>TX</v>
      </c>
      <c r="H12" s="83" t="s">
        <v>44</v>
      </c>
      <c r="I12" s="79" t="s">
        <v>46</v>
      </c>
      <c r="J12" s="83">
        <v>1.0</v>
      </c>
      <c r="K12" s="84">
        <f>IF(ISNA(VLOOKUP(D12,Sheet2!B:C,2,FALSE)),"0",(VLOOKUP(D12,Sheet2!B:C,2,FALSE)))</f>
        <v>47.37</v>
      </c>
      <c r="L12" s="83">
        <f t="shared" ref="L12:L31" si="1">J12*K12</f>
        <v>47.37</v>
      </c>
      <c r="M12" s="79"/>
      <c r="N12" s="85"/>
      <c r="O12" s="23"/>
      <c r="P12" s="23" t="str">
        <f>VLOOKUP(C12,Sheet2!BM:BN,2,0)</f>
        <v>#N/A</v>
      </c>
      <c r="Q12" s="23" t="str">
        <f t="shared" ref="Q12:Q13" si="2">D12</f>
        <v>18.00-E-8x4--BSL</v>
      </c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78">
        <v>2.0</v>
      </c>
      <c r="B13" s="79"/>
      <c r="C13" s="79" t="str">
        <f>VLOOKUP(B13,Sheet2!W:X,2,FALSE)</f>
        <v>#N/A</v>
      </c>
      <c r="D13" s="80"/>
      <c r="E13" s="81"/>
      <c r="F13" s="82" t="str">
        <f>IFERROR(VLOOKUP(E13,Sheet2!AD:AE,2,0),"")</f>
        <v/>
      </c>
      <c r="G13" s="82" t="str">
        <f>VLOOKUP(B13,Sheet2!B:D,3,FALSE)</f>
        <v>#N/A</v>
      </c>
      <c r="H13" s="83"/>
      <c r="I13" s="79" t="s">
        <v>46</v>
      </c>
      <c r="J13" s="83"/>
      <c r="K13" s="86" t="str">
        <f>IF(ISNA(VLOOKUP(D13,Sheet2!B:C,2,FALSE)),"0",(VLOOKUP(D13,Sheet2!B:C,2,FALSE)))</f>
        <v>0</v>
      </c>
      <c r="L13" s="83">
        <f t="shared" si="1"/>
        <v>0</v>
      </c>
      <c r="M13" s="79"/>
      <c r="N13" s="85"/>
      <c r="O13" s="23"/>
      <c r="P13" s="23" t="str">
        <f>VLOOKUP(C13,Sheet2!BM:BN,2,0)</f>
        <v>#N/A</v>
      </c>
      <c r="Q13" s="23" t="str">
        <f t="shared" si="2"/>
        <v/>
      </c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78">
        <v>3.0</v>
      </c>
      <c r="B14" s="79"/>
      <c r="C14" s="79" t="str">
        <f>VLOOKUP(B14,Sheet2!W:X,2,FALSE)</f>
        <v>#N/A</v>
      </c>
      <c r="D14" s="80"/>
      <c r="E14" s="81"/>
      <c r="F14" s="82" t="str">
        <f>IFERROR(VLOOKUP(E14,Sheet2!AD:AE,2,0),"")</f>
        <v/>
      </c>
      <c r="G14" s="82" t="str">
        <f>VLOOKUP(B14,Sheet2!B:D,3,FALSE)</f>
        <v>#N/A</v>
      </c>
      <c r="H14" s="83"/>
      <c r="I14" s="79" t="s">
        <v>46</v>
      </c>
      <c r="J14" s="83"/>
      <c r="K14" s="86" t="str">
        <f>IF(ISNA(VLOOKUP(D14,Sheet2!B:C,2,FALSE)),"0",(VLOOKUP(D14,Sheet2!B:C,2,FALSE)))</f>
        <v>0</v>
      </c>
      <c r="L14" s="83">
        <f t="shared" si="1"/>
        <v>0</v>
      </c>
      <c r="M14" s="79"/>
      <c r="N14" s="85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78">
        <v>4.0</v>
      </c>
      <c r="B15" s="79"/>
      <c r="C15" s="79" t="str">
        <f>VLOOKUP(B15,Sheet2!W:X,2,FALSE)</f>
        <v>#N/A</v>
      </c>
      <c r="D15" s="80"/>
      <c r="E15" s="81"/>
      <c r="F15" s="82" t="str">
        <f>IFERROR(VLOOKUP(E15,Sheet2!AD:AE,2,0),"")</f>
        <v/>
      </c>
      <c r="G15" s="82" t="str">
        <f>VLOOKUP(B15,Sheet2!B:D,3,FALSE)</f>
        <v>#N/A</v>
      </c>
      <c r="H15" s="83" t="s">
        <v>44</v>
      </c>
      <c r="I15" s="79" t="s">
        <v>46</v>
      </c>
      <c r="J15" s="83"/>
      <c r="K15" s="86" t="str">
        <f>IF(ISNA(VLOOKUP(D15,Sheet2!B:C,2,FALSE)),"0",(VLOOKUP(D15,Sheet2!B:C,2,FALSE)))</f>
        <v>0</v>
      </c>
      <c r="L15" s="83">
        <f t="shared" si="1"/>
        <v>0</v>
      </c>
      <c r="M15" s="79"/>
      <c r="N15" s="85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78">
        <v>5.0</v>
      </c>
      <c r="B16" s="79"/>
      <c r="C16" s="79" t="str">
        <f>VLOOKUP(B16,Sheet2!W:X,2,FALSE)</f>
        <v>#N/A</v>
      </c>
      <c r="D16" s="80"/>
      <c r="E16" s="81"/>
      <c r="F16" s="82" t="str">
        <f>IFERROR(VLOOKUP(E16,Sheet2!AD:AE,2,0),"")</f>
        <v/>
      </c>
      <c r="G16" s="82" t="str">
        <f>VLOOKUP(B16,Sheet2!B:D,3,FALSE)</f>
        <v>#N/A</v>
      </c>
      <c r="H16" s="83" t="s">
        <v>44</v>
      </c>
      <c r="I16" s="79" t="s">
        <v>46</v>
      </c>
      <c r="J16" s="83"/>
      <c r="K16" s="86" t="str">
        <f>IF(ISNA(VLOOKUP(D16,Sheet2!B:C,2,FALSE)),"0",(VLOOKUP(D16,Sheet2!B:C,2,FALSE)))</f>
        <v>0</v>
      </c>
      <c r="L16" s="83">
        <f t="shared" si="1"/>
        <v>0</v>
      </c>
      <c r="M16" s="79"/>
      <c r="N16" s="85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78">
        <v>6.0</v>
      </c>
      <c r="B17" s="79"/>
      <c r="C17" s="79" t="str">
        <f>VLOOKUP(B17,Sheet2!W:X,2,FALSE)</f>
        <v>#N/A</v>
      </c>
      <c r="D17" s="80"/>
      <c r="E17" s="81"/>
      <c r="F17" s="82" t="str">
        <f>IFERROR(VLOOKUP(E17,Sheet2!AD:AE,2,0),"")</f>
        <v/>
      </c>
      <c r="G17" s="82" t="str">
        <f>VLOOKUP(B17,Sheet2!B:D,3,FALSE)</f>
        <v>#N/A</v>
      </c>
      <c r="H17" s="83"/>
      <c r="I17" s="79" t="s">
        <v>46</v>
      </c>
      <c r="J17" s="83"/>
      <c r="K17" s="86" t="str">
        <f>IF(ISNA(VLOOKUP(D17,Sheet2!B:C,2,FALSE)),"0",(VLOOKUP(D17,Sheet2!B:C,2,FALSE)))</f>
        <v>0</v>
      </c>
      <c r="L17" s="83">
        <f t="shared" si="1"/>
        <v>0</v>
      </c>
      <c r="M17" s="79"/>
      <c r="N17" s="85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78">
        <v>7.0</v>
      </c>
      <c r="B18" s="79"/>
      <c r="C18" s="79" t="str">
        <f>VLOOKUP(B18,Sheet2!W:X,2,FALSE)</f>
        <v>#N/A</v>
      </c>
      <c r="D18" s="80"/>
      <c r="E18" s="81"/>
      <c r="F18" s="82" t="str">
        <f>IFERROR(VLOOKUP(E18,Sheet2!AD:AE,2,0),"")</f>
        <v/>
      </c>
      <c r="G18" s="82" t="str">
        <f>VLOOKUP(B18,Sheet2!B:D,3,FALSE)</f>
        <v>#N/A</v>
      </c>
      <c r="H18" s="83"/>
      <c r="I18" s="79" t="s">
        <v>46</v>
      </c>
      <c r="J18" s="83"/>
      <c r="K18" s="86" t="str">
        <f>IF(ISNA(VLOOKUP(D18,Sheet2!B:C,2,FALSE)),"0",(VLOOKUP(D18,Sheet2!B:C,2,FALSE)))</f>
        <v>0</v>
      </c>
      <c r="L18" s="83">
        <f t="shared" si="1"/>
        <v>0</v>
      </c>
      <c r="M18" s="79"/>
      <c r="N18" s="85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78">
        <v>8.0</v>
      </c>
      <c r="B19" s="79"/>
      <c r="C19" s="79" t="str">
        <f>VLOOKUP(B19,Sheet2!W:X,2,FALSE)</f>
        <v>#N/A</v>
      </c>
      <c r="D19" s="80"/>
      <c r="E19" s="81"/>
      <c r="F19" s="82" t="str">
        <f>IFERROR(VLOOKUP(E19,Sheet2!AD:AE,2,0),"")</f>
        <v/>
      </c>
      <c r="G19" s="82" t="str">
        <f>VLOOKUP(B19,Sheet2!B:D,3,FALSE)</f>
        <v>#N/A</v>
      </c>
      <c r="H19" s="83" t="s">
        <v>44</v>
      </c>
      <c r="I19" s="79" t="s">
        <v>46</v>
      </c>
      <c r="J19" s="83"/>
      <c r="K19" s="86" t="str">
        <f>IF(ISNA(VLOOKUP(D19,Sheet2!B:C,2,FALSE)),"0",(VLOOKUP(D19,Sheet2!B:C,2,FALSE)))</f>
        <v>0</v>
      </c>
      <c r="L19" s="83">
        <f t="shared" si="1"/>
        <v>0</v>
      </c>
      <c r="M19" s="79"/>
      <c r="N19" s="85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78">
        <v>9.0</v>
      </c>
      <c r="B20" s="79"/>
      <c r="C20" s="79" t="str">
        <f>VLOOKUP(B20,Sheet2!W:X,2,FALSE)</f>
        <v>#N/A</v>
      </c>
      <c r="D20" s="80"/>
      <c r="E20" s="81"/>
      <c r="F20" s="82" t="str">
        <f>IFERROR(VLOOKUP(E20,Sheet2!AD:AE,2,0),"")</f>
        <v/>
      </c>
      <c r="G20" s="82" t="str">
        <f>VLOOKUP(B20,Sheet2!B:D,3,FALSE)</f>
        <v>#N/A</v>
      </c>
      <c r="H20" s="83" t="s">
        <v>44</v>
      </c>
      <c r="I20" s="79" t="s">
        <v>46</v>
      </c>
      <c r="J20" s="83"/>
      <c r="K20" s="86" t="str">
        <f>IF(ISNA(VLOOKUP(D20,Sheet2!B:C,2,FALSE)),"0",(VLOOKUP(D20,Sheet2!B:C,2,FALSE)))</f>
        <v>0</v>
      </c>
      <c r="L20" s="83">
        <f t="shared" si="1"/>
        <v>0</v>
      </c>
      <c r="M20" s="79"/>
      <c r="N20" s="85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78">
        <v>10.0</v>
      </c>
      <c r="B21" s="79"/>
      <c r="C21" s="79" t="str">
        <f>VLOOKUP(B21,Sheet2!W:X,2,FALSE)</f>
        <v>#N/A</v>
      </c>
      <c r="D21" s="80"/>
      <c r="E21" s="81"/>
      <c r="F21" s="82" t="str">
        <f>IFERROR(VLOOKUP(E21,Sheet2!AD:AE,2,0),"")</f>
        <v/>
      </c>
      <c r="G21" s="82" t="str">
        <f>VLOOKUP(B21,Sheet2!B:D,3,FALSE)</f>
        <v>#N/A</v>
      </c>
      <c r="H21" s="83" t="s">
        <v>44</v>
      </c>
      <c r="I21" s="79" t="s">
        <v>46</v>
      </c>
      <c r="J21" s="83"/>
      <c r="K21" s="86" t="str">
        <f>IF(ISNA(VLOOKUP(D21,Sheet2!B:C,2,FALSE)),"0",(VLOOKUP(D21,Sheet2!B:C,2,FALSE)))</f>
        <v>0</v>
      </c>
      <c r="L21" s="83">
        <f t="shared" si="1"/>
        <v>0</v>
      </c>
      <c r="M21" s="79"/>
      <c r="N21" s="85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78">
        <v>11.0</v>
      </c>
      <c r="B22" s="79"/>
      <c r="C22" s="79" t="str">
        <f>VLOOKUP(B22,Sheet2!W:X,2,FALSE)</f>
        <v>#N/A</v>
      </c>
      <c r="D22" s="80"/>
      <c r="E22" s="81"/>
      <c r="F22" s="82" t="str">
        <f>IFERROR(VLOOKUP(E22,Sheet2!AD:AE,2,0),"")</f>
        <v/>
      </c>
      <c r="G22" s="82" t="str">
        <f>VLOOKUP(B22,Sheet2!B:D,3,FALSE)</f>
        <v>#N/A</v>
      </c>
      <c r="H22" s="83"/>
      <c r="I22" s="79" t="s">
        <v>46</v>
      </c>
      <c r="J22" s="83"/>
      <c r="K22" s="86" t="str">
        <f>IF(ISNA(VLOOKUP(D22,Sheet2!B:C,2,FALSE)),"0",(VLOOKUP(D22,Sheet2!B:C,2,FALSE)))</f>
        <v>0</v>
      </c>
      <c r="L22" s="83">
        <f t="shared" si="1"/>
        <v>0</v>
      </c>
      <c r="M22" s="79"/>
      <c r="N22" s="85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78">
        <v>12.0</v>
      </c>
      <c r="B23" s="79"/>
      <c r="C23" s="79" t="str">
        <f>VLOOKUP(B23,Sheet2!W:X,2,FALSE)</f>
        <v>#N/A</v>
      </c>
      <c r="D23" s="80"/>
      <c r="E23" s="81"/>
      <c r="F23" s="82" t="str">
        <f>IFERROR(VLOOKUP(E23,Sheet2!AD:AE,2,0),"")</f>
        <v/>
      </c>
      <c r="G23" s="82" t="str">
        <f>VLOOKUP(B23,Sheet2!B:D,3,FALSE)</f>
        <v>#N/A</v>
      </c>
      <c r="H23" s="83"/>
      <c r="I23" s="79"/>
      <c r="J23" s="83"/>
      <c r="K23" s="86" t="str">
        <f>IF(ISNA(VLOOKUP(D23,Sheet2!B:C,2,FALSE)),"0",(VLOOKUP(D23,Sheet2!B:C,2,FALSE)))</f>
        <v>0</v>
      </c>
      <c r="L23" s="83">
        <f t="shared" si="1"/>
        <v>0</v>
      </c>
      <c r="M23" s="79"/>
      <c r="N23" s="85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78">
        <v>13.0</v>
      </c>
      <c r="B24" s="79"/>
      <c r="C24" s="79" t="str">
        <f>VLOOKUP(B24,Sheet2!W:X,2,FALSE)</f>
        <v>#N/A</v>
      </c>
      <c r="D24" s="80"/>
      <c r="E24" s="81"/>
      <c r="F24" s="82" t="str">
        <f>IFERROR(VLOOKUP(E24,Sheet2!AD:AE,2,0),"")</f>
        <v/>
      </c>
      <c r="G24" s="82" t="str">
        <f>VLOOKUP(B24,Sheet2!B:D,3,FALSE)</f>
        <v>#N/A</v>
      </c>
      <c r="H24" s="83"/>
      <c r="I24" s="79"/>
      <c r="J24" s="83"/>
      <c r="K24" s="86" t="str">
        <f>IF(ISNA(VLOOKUP(D24,Sheet2!B:C,2,FALSE)),"0",(VLOOKUP(D24,Sheet2!B:C,2,FALSE)))</f>
        <v>0</v>
      </c>
      <c r="L24" s="83">
        <f t="shared" si="1"/>
        <v>0</v>
      </c>
      <c r="M24" s="79"/>
      <c r="N24" s="85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78">
        <v>14.0</v>
      </c>
      <c r="B25" s="79"/>
      <c r="C25" s="79" t="str">
        <f>VLOOKUP(B25,Sheet2!W:X,2,FALSE)</f>
        <v>#N/A</v>
      </c>
      <c r="D25" s="80"/>
      <c r="E25" s="81"/>
      <c r="F25" s="82" t="str">
        <f>IFERROR(VLOOKUP(E25,Sheet2!AD:AE,2,0),"")</f>
        <v/>
      </c>
      <c r="G25" s="82" t="str">
        <f>VLOOKUP(B25,Sheet2!B:D,3,FALSE)</f>
        <v>#N/A</v>
      </c>
      <c r="H25" s="83"/>
      <c r="I25" s="79"/>
      <c r="J25" s="83"/>
      <c r="K25" s="86" t="str">
        <f>IF(ISNA(VLOOKUP(D25,Sheet2!B:C,2,FALSE)),"0",(VLOOKUP(D25,Sheet2!B:C,2,FALSE)))</f>
        <v>0</v>
      </c>
      <c r="L25" s="83">
        <f t="shared" si="1"/>
        <v>0</v>
      </c>
      <c r="M25" s="79"/>
      <c r="N25" s="85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78">
        <v>15.0</v>
      </c>
      <c r="B26" s="79"/>
      <c r="C26" s="79" t="str">
        <f>VLOOKUP(B26,Sheet2!W:X,2,FALSE)</f>
        <v>#N/A</v>
      </c>
      <c r="D26" s="80"/>
      <c r="E26" s="81"/>
      <c r="F26" s="82" t="str">
        <f>IFERROR(VLOOKUP(E26,Sheet2!AD:AE,2,0),"")</f>
        <v/>
      </c>
      <c r="G26" s="82" t="str">
        <f>VLOOKUP(B26,Sheet2!B:D,3,FALSE)</f>
        <v>#N/A</v>
      </c>
      <c r="H26" s="83"/>
      <c r="I26" s="79"/>
      <c r="J26" s="83"/>
      <c r="K26" s="86" t="str">
        <f>IF(ISNA(VLOOKUP(D26,Sheet2!B:C,2,FALSE)),"0",(VLOOKUP(D26,Sheet2!B:C,2,FALSE)))</f>
        <v>0</v>
      </c>
      <c r="L26" s="83">
        <f t="shared" si="1"/>
        <v>0</v>
      </c>
      <c r="M26" s="79"/>
      <c r="N26" s="85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78">
        <v>16.0</v>
      </c>
      <c r="B27" s="79"/>
      <c r="C27" s="79" t="str">
        <f>VLOOKUP(B27,Sheet2!W:X,2,FALSE)</f>
        <v>#N/A</v>
      </c>
      <c r="D27" s="80"/>
      <c r="E27" s="81"/>
      <c r="F27" s="82" t="str">
        <f>IFERROR(VLOOKUP(E27,Sheet2!AD:AE,2,0),"")</f>
        <v/>
      </c>
      <c r="G27" s="82" t="str">
        <f>VLOOKUP(B27,Sheet2!B:D,3,FALSE)</f>
        <v>#N/A</v>
      </c>
      <c r="H27" s="83"/>
      <c r="I27" s="79"/>
      <c r="J27" s="83"/>
      <c r="K27" s="86" t="str">
        <f>IF(ISNA(VLOOKUP(D27,Sheet2!B:C,2,FALSE)),"0",(VLOOKUP(D27,Sheet2!B:C,2,FALSE)))</f>
        <v>0</v>
      </c>
      <c r="L27" s="83">
        <f t="shared" si="1"/>
        <v>0</v>
      </c>
      <c r="M27" s="79"/>
      <c r="N27" s="85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78">
        <v>17.0</v>
      </c>
      <c r="B28" s="79"/>
      <c r="C28" s="79" t="str">
        <f>VLOOKUP(B28,Sheet2!W:X,2,FALSE)</f>
        <v>#N/A</v>
      </c>
      <c r="D28" s="80"/>
      <c r="E28" s="81"/>
      <c r="F28" s="82" t="str">
        <f>IFERROR(VLOOKUP(E28,Sheet2!AD:AE,2,0),"")</f>
        <v/>
      </c>
      <c r="G28" s="82" t="str">
        <f>VLOOKUP(B28,Sheet2!B:D,3,FALSE)</f>
        <v>#N/A</v>
      </c>
      <c r="H28" s="83"/>
      <c r="I28" s="79"/>
      <c r="J28" s="83"/>
      <c r="K28" s="86" t="str">
        <f>IF(ISNA(VLOOKUP(D28,Sheet2!B:C,2,FALSE)),"0",(VLOOKUP(D28,Sheet2!B:C,2,FALSE)))</f>
        <v>0</v>
      </c>
      <c r="L28" s="83">
        <f t="shared" si="1"/>
        <v>0</v>
      </c>
      <c r="M28" s="79"/>
      <c r="N28" s="85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78">
        <v>18.0</v>
      </c>
      <c r="B29" s="79"/>
      <c r="C29" s="79" t="str">
        <f>VLOOKUP(B29,Sheet2!W:X,2,FALSE)</f>
        <v>#N/A</v>
      </c>
      <c r="D29" s="80"/>
      <c r="E29" s="81"/>
      <c r="F29" s="82" t="str">
        <f>IFERROR(VLOOKUP(E29,Sheet2!AD:AE,2,0),"")</f>
        <v/>
      </c>
      <c r="G29" s="82" t="str">
        <f>VLOOKUP(B29,Sheet2!B:D,3,FALSE)</f>
        <v>#N/A</v>
      </c>
      <c r="H29" s="83"/>
      <c r="I29" s="79"/>
      <c r="J29" s="83"/>
      <c r="K29" s="86" t="str">
        <f>IF(ISNA(VLOOKUP(D29,Sheet2!B:C,2,FALSE)),"0",(VLOOKUP(D29,Sheet2!B:C,2,FALSE)))</f>
        <v>0</v>
      </c>
      <c r="L29" s="83">
        <f t="shared" si="1"/>
        <v>0</v>
      </c>
      <c r="M29" s="79"/>
      <c r="N29" s="85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78">
        <v>19.0</v>
      </c>
      <c r="B30" s="79"/>
      <c r="C30" s="79" t="str">
        <f>VLOOKUP(B30,Sheet2!W:X,2,FALSE)</f>
        <v>#N/A</v>
      </c>
      <c r="D30" s="80"/>
      <c r="E30" s="81"/>
      <c r="F30" s="82" t="str">
        <f>IFERROR(VLOOKUP(E30,Sheet2!AD:AE,2,0),"")</f>
        <v/>
      </c>
      <c r="G30" s="82" t="str">
        <f>VLOOKUP(B30,Sheet2!B:D,3,FALSE)</f>
        <v>#N/A</v>
      </c>
      <c r="H30" s="83"/>
      <c r="I30" s="79"/>
      <c r="J30" s="83"/>
      <c r="K30" s="86" t="str">
        <f>IF(ISNA(VLOOKUP(D30,Sheet2!B:C,2,FALSE)),"0",(VLOOKUP(D30,Sheet2!B:C,2,FALSE)))</f>
        <v>0</v>
      </c>
      <c r="L30" s="83">
        <f t="shared" si="1"/>
        <v>0</v>
      </c>
      <c r="M30" s="79"/>
      <c r="N30" s="85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78">
        <v>20.0</v>
      </c>
      <c r="B31" s="79"/>
      <c r="C31" s="79" t="str">
        <f>VLOOKUP(B31,Sheet2!W:X,2,FALSE)</f>
        <v>#N/A</v>
      </c>
      <c r="D31" s="80"/>
      <c r="E31" s="81"/>
      <c r="F31" s="82" t="str">
        <f>IFERROR(VLOOKUP(E31,Sheet2!AD:AE,2,0),"")</f>
        <v/>
      </c>
      <c r="G31" s="82" t="str">
        <f>VLOOKUP(B31,Sheet2!B:D,3,FALSE)</f>
        <v>#N/A</v>
      </c>
      <c r="H31" s="83"/>
      <c r="I31" s="79"/>
      <c r="J31" s="83"/>
      <c r="K31" s="86" t="str">
        <f>IF(ISNA(VLOOKUP(D31,Sheet2!B:C,2,FALSE)),"0",(VLOOKUP(D31,Sheet2!B:C,2,FALSE)))</f>
        <v>0</v>
      </c>
      <c r="L31" s="83">
        <f t="shared" si="1"/>
        <v>0</v>
      </c>
      <c r="M31" s="79"/>
      <c r="N31" s="85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91"/>
      <c r="B32" s="92"/>
      <c r="C32" s="92"/>
      <c r="D32" s="93"/>
      <c r="E32" s="81"/>
      <c r="F32" s="82" t="str">
        <f>IFERROR(VLOOKUP(E32,Sheet2!AD:AE,2,0),"")</f>
        <v/>
      </c>
      <c r="G32" s="94"/>
      <c r="H32" s="94"/>
      <c r="I32" s="79"/>
      <c r="J32" s="94"/>
      <c r="K32" s="94"/>
      <c r="L32" s="94"/>
      <c r="M32" s="95"/>
      <c r="N32" s="85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37.5" customHeight="1">
      <c r="A33" s="96" t="s">
        <v>333</v>
      </c>
      <c r="B33" s="13"/>
      <c r="C33" s="97"/>
      <c r="D33" s="98" t="s">
        <v>337</v>
      </c>
      <c r="E33" s="51"/>
      <c r="F33" s="99"/>
      <c r="G33" s="100"/>
      <c r="H33" s="98" t="s">
        <v>339</v>
      </c>
      <c r="I33" s="13"/>
      <c r="J33" s="102">
        <f>SUM(J12:J32)</f>
        <v>1</v>
      </c>
      <c r="K33" s="103"/>
      <c r="L33" s="102">
        <f>SUM(L12:L31)</f>
        <v>47.37</v>
      </c>
      <c r="M33" s="104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9.0" customHeight="1">
      <c r="A34" s="105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24.0" customHeight="1">
      <c r="A35" s="107" t="s">
        <v>353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1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0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8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31.5" customHeight="1">
      <c r="A37" s="17"/>
      <c r="M37" s="18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42.0" customHeight="1">
      <c r="A38" s="17"/>
      <c r="M38" s="18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23.25" customHeight="1">
      <c r="A39" s="109" t="s">
        <v>359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1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5.25" customHeight="1">
      <c r="A40" s="23"/>
      <c r="B40" s="23"/>
      <c r="C40" s="23"/>
      <c r="D40" s="110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110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110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110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110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110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110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110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110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110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110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110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110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110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110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110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110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110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110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110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110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110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110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110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110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110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110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110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110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110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110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110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110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110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110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110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110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110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110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110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110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110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110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110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110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110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110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110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110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110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110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110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110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110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110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110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110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110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110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110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110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110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110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110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110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110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110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110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110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110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110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110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110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110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110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110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110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110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110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110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110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110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110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110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110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110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110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110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110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110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110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110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110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110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110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110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110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110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110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110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110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110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110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110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110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110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110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110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110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110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110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110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110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110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110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110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110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110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110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110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110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110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110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110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110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110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110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110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110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110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110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110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110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110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110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110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110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110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110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110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110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110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110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110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110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110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110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110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110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110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110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110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110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110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110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110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110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110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110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110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110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110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110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110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110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110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110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110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110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110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110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110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110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110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110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110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110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110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110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110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110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110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110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110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110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110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110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110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110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110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110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110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110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110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110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110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110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110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110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110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110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110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110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110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110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110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110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110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110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110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110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110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110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110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110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110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110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110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110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110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110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110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110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110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110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110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110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110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110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110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110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110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110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110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110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110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110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110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110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110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110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110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110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110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110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110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110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110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110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110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110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110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110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110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110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110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110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110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110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110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110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110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110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110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110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110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110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110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110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110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110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110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110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110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110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110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110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110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110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110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110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110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110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110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110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110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110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110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110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110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110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110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110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110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110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110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110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110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110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110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110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110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110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110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110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110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110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110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110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110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110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110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110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110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110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110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110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110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110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110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110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110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110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110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110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110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110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110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110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110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110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110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110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110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110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110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110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110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110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110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110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110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110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110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110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110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110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110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110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110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110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110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110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110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110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110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110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110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110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110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110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110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110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110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110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110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110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110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110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110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110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110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110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110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110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110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110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110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110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110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110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110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110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110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110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110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110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110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110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110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110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110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110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110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110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110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110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110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110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110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110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110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110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110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110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110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110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110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110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110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110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110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110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110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110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110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110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110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110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110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110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110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110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110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110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110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110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110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110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110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110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110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110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110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110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110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110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110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110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110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110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110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110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110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110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110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110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110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110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110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110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110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110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110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110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110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110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110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110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110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110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110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110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110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110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110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110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110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110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110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110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110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110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110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110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110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110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110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110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110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110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110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110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110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110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110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110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110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110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110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110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110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110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110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110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110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110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110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110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110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110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110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110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110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110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110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110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110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110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110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110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110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110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110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110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110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110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110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110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110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110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110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110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110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110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110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110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110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110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110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110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110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110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110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110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110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110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110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110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110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110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110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110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110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110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110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110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110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110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110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110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110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110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110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110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110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110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110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110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110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110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110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110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110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110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110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110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110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110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110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110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110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110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110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110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110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110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110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110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110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110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110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110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110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110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110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110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110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110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110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110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110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110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110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110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110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110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110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110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110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110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110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110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110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110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110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110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110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110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110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110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110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110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110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110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110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110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110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110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110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110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110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110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110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110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110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110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110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110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110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110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110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110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110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110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110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110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110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110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110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110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110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110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110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110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110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110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110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110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110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110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110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110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110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110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110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110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110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110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110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110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110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110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110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110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110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110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110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110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110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110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110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110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110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110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110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110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110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110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110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110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110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110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110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110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110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110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110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110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110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110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110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110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110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110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110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110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110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110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110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110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110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110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110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110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110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110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110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110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110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110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110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110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110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110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110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110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110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110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110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110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110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110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110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110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110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110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110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110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110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110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110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110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110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110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110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110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110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110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110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110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110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110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110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110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110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110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110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110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110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110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110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110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110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110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110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110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110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110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110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110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110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110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110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110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110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110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110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110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110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110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110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110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110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110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110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110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110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110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110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110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110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110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110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110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110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110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110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110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110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110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110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110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110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110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110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110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110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110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110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110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110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110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110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110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110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110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110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110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110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110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110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110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110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110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110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110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110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110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110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110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110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110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110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110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110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110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110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110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110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110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110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110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110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110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110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110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110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110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110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110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110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110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110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110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110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110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110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110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110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110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110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110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110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110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110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110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110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110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110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110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110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110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110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110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110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110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110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110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110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110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110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110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110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110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110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110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110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110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110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110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110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110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110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110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110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110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110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110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110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110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110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110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110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110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110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110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110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110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110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110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110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110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110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110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110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110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110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110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110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110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110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110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110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110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110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110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110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110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110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110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110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110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110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110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110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110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110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110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110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110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110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110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110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110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110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110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110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110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110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110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110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110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110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110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110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110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110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110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110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110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110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110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110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110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110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110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110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110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110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110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4">
    <mergeCell ref="E5:F6"/>
    <mergeCell ref="E7:F7"/>
    <mergeCell ref="E8:F9"/>
    <mergeCell ref="H4:M8"/>
    <mergeCell ref="H9:I10"/>
    <mergeCell ref="J9:K10"/>
    <mergeCell ref="L9:M9"/>
    <mergeCell ref="L10:M10"/>
    <mergeCell ref="A1:D3"/>
    <mergeCell ref="E1:F1"/>
    <mergeCell ref="H1:M3"/>
    <mergeCell ref="E2:F3"/>
    <mergeCell ref="A4:D8"/>
    <mergeCell ref="E4:F4"/>
    <mergeCell ref="B9:D9"/>
    <mergeCell ref="A36:M38"/>
    <mergeCell ref="A39:M39"/>
    <mergeCell ref="A10:B10"/>
    <mergeCell ref="D10:E10"/>
    <mergeCell ref="A33:B33"/>
    <mergeCell ref="D33:F33"/>
    <mergeCell ref="H33:I33"/>
    <mergeCell ref="A34:M34"/>
    <mergeCell ref="A35:M35"/>
  </mergeCells>
  <conditionalFormatting sqref="I12:I32">
    <cfRule type="expression" dxfId="0" priority="1">
      <formula>IF(#REF!="'A'',''B","'C")</formula>
    </cfRule>
  </conditionalFormatting>
  <conditionalFormatting sqref="J9:K10">
    <cfRule type="cellIs" dxfId="1" priority="2" stopIfTrue="1" operator="between">
      <formula>7.43</formula>
      <formula>7.495</formula>
    </cfRule>
  </conditionalFormatting>
  <conditionalFormatting sqref="J9:K10">
    <cfRule type="cellIs" dxfId="1" priority="3" stopIfTrue="1" operator="between">
      <formula>9.91</formula>
      <formula>9.995</formula>
    </cfRule>
  </conditionalFormatting>
  <conditionalFormatting sqref="J9:K10">
    <cfRule type="cellIs" dxfId="1" priority="4" stopIfTrue="1" operator="between">
      <formula>14.92</formula>
      <formula>14.99</formula>
    </cfRule>
  </conditionalFormatting>
  <conditionalFormatting sqref="J9:K10">
    <cfRule type="cellIs" dxfId="1" priority="5" stopIfTrue="1" operator="between">
      <formula>15.91</formula>
      <formula>15.99</formula>
    </cfRule>
  </conditionalFormatting>
  <conditionalFormatting sqref="J9:K10">
    <cfRule type="cellIs" dxfId="1" priority="6" stopIfTrue="1" operator="between">
      <formula>17.9</formula>
      <formula>17.99</formula>
    </cfRule>
  </conditionalFormatting>
  <conditionalFormatting sqref="J9:K10">
    <cfRule type="cellIs" dxfId="1" priority="7" stopIfTrue="1" operator="between">
      <formula>19.9</formula>
      <formula>19.99</formula>
    </cfRule>
  </conditionalFormatting>
  <conditionalFormatting sqref="J9:K10">
    <cfRule type="cellIs" dxfId="1" priority="8" stopIfTrue="1" operator="between">
      <formula>20.9</formula>
      <formula>20.99</formula>
    </cfRule>
  </conditionalFormatting>
  <conditionalFormatting sqref="J9:K10">
    <cfRule type="cellIs" dxfId="1" priority="9" stopIfTrue="1" operator="between">
      <formula>21.9</formula>
      <formula>21.99</formula>
    </cfRule>
  </conditionalFormatting>
  <conditionalFormatting sqref="J9:K10">
    <cfRule type="cellIs" dxfId="1" priority="10" stopIfTrue="1" operator="between">
      <formula>23.9</formula>
      <formula>23.99</formula>
    </cfRule>
  </conditionalFormatting>
  <conditionalFormatting sqref="J9:K10">
    <cfRule type="cellIs" dxfId="2" priority="11" stopIfTrue="1" operator="greaterThan">
      <formula>23.991</formula>
    </cfRule>
  </conditionalFormatting>
  <conditionalFormatting sqref="J9:K10">
    <cfRule type="cellIs" dxfId="2" priority="12" stopIfTrue="1" operator="lessThan">
      <formula>15.9</formula>
    </cfRule>
  </conditionalFormatting>
  <conditionalFormatting sqref="J9:K10">
    <cfRule type="cellIs" dxfId="2" priority="13" stopIfTrue="1" operator="greaterThan">
      <formula>21.991</formula>
    </cfRule>
  </conditionalFormatting>
  <conditionalFormatting sqref="J9:K10">
    <cfRule type="cellIs" dxfId="2" priority="14" stopIfTrue="1" operator="greaterThan">
      <formula>20.991</formula>
    </cfRule>
  </conditionalFormatting>
  <conditionalFormatting sqref="J9:K10">
    <cfRule type="cellIs" dxfId="2" priority="15" stopIfTrue="1" operator="greaterThan">
      <formula>19.991</formula>
    </cfRule>
  </conditionalFormatting>
  <conditionalFormatting sqref="J9:K10">
    <cfRule type="cellIs" dxfId="2" priority="16" stopIfTrue="1" operator="greaterThan">
      <formula>17.991</formula>
    </cfRule>
  </conditionalFormatting>
  <conditionalFormatting sqref="J9:K10">
    <cfRule type="cellIs" dxfId="2" priority="17" stopIfTrue="1" operator="greaterThan">
      <formula>15.991</formula>
    </cfRule>
  </conditionalFormatting>
  <conditionalFormatting sqref="J9:K10">
    <cfRule type="cellIs" dxfId="2" priority="18" stopIfTrue="1" operator="greaterThan">
      <formula>14.991</formula>
    </cfRule>
  </conditionalFormatting>
  <conditionalFormatting sqref="J9:K10">
    <cfRule type="cellIs" dxfId="2" priority="19" stopIfTrue="1" operator="greaterThan">
      <formula>10</formula>
    </cfRule>
  </conditionalFormatting>
  <conditionalFormatting sqref="J9:K10">
    <cfRule type="cellIs" dxfId="2" priority="20" stopIfTrue="1" operator="greaterThan">
      <formula>7.5</formula>
    </cfRule>
  </conditionalFormatting>
  <conditionalFormatting sqref="J9:K10">
    <cfRule type="cellIs" dxfId="2" priority="21" stopIfTrue="1" operator="lessThan">
      <formula>23.9</formula>
    </cfRule>
  </conditionalFormatting>
  <conditionalFormatting sqref="J9:K10">
    <cfRule type="cellIs" dxfId="2" priority="22" stopIfTrue="1" operator="lessThan">
      <formula>21.9</formula>
    </cfRule>
  </conditionalFormatting>
  <conditionalFormatting sqref="J9:K10">
    <cfRule type="cellIs" dxfId="2" priority="23" stopIfTrue="1" operator="lessThan">
      <formula>20.9</formula>
    </cfRule>
  </conditionalFormatting>
  <conditionalFormatting sqref="J9:K10">
    <cfRule type="cellIs" dxfId="2" priority="24" stopIfTrue="1" operator="lessThan">
      <formula>19.9</formula>
    </cfRule>
  </conditionalFormatting>
  <conditionalFormatting sqref="J9:K10">
    <cfRule type="cellIs" dxfId="2" priority="25" stopIfTrue="1" operator="lessThan">
      <formula>17.9</formula>
    </cfRule>
  </conditionalFormatting>
  <conditionalFormatting sqref="J9:K10">
    <cfRule type="cellIs" dxfId="2" priority="26" stopIfTrue="1" operator="lessThan">
      <formula>14.91</formula>
    </cfRule>
  </conditionalFormatting>
  <conditionalFormatting sqref="J9:K10">
    <cfRule type="cellIs" dxfId="2" priority="27" stopIfTrue="1" operator="lessThan">
      <formula>9.91</formula>
    </cfRule>
  </conditionalFormatting>
  <conditionalFormatting sqref="J9:K10">
    <cfRule type="cellIs" dxfId="2" priority="28" stopIfTrue="1" operator="lessThan">
      <formula>7.42</formula>
    </cfRule>
  </conditionalFormatting>
  <dataValidations>
    <dataValidation type="list" allowBlank="1" showErrorMessage="1" sqref="D24">
      <formula1>INDIRECT($B$24)</formula1>
    </dataValidation>
    <dataValidation type="list" allowBlank="1" showErrorMessage="1" sqref="E16">
      <formula1>INDIRECT($C$16)</formula1>
    </dataValidation>
    <dataValidation type="list" allowBlank="1" showErrorMessage="1" sqref="H25">
      <formula1>INDIRECT($G$25)</formula1>
    </dataValidation>
    <dataValidation type="list" allowBlank="1" showErrorMessage="1" sqref="H27">
      <formula1>INDIRECT($G$27)</formula1>
    </dataValidation>
    <dataValidation type="list" allowBlank="1" showErrorMessage="1" sqref="E29">
      <formula1>INDIRECT($C$29)</formula1>
    </dataValidation>
    <dataValidation type="list" allowBlank="1" showErrorMessage="1" sqref="H29">
      <formula1>INDIRECT($G$29)</formula1>
    </dataValidation>
    <dataValidation type="list" allowBlank="1" showErrorMessage="1" sqref="B12:B31">
      <formula1>PRODUCTS</formula1>
    </dataValidation>
    <dataValidation type="list" allowBlank="1" showErrorMessage="1" sqref="E31">
      <formula1>INDIRECT($C$31)</formula1>
    </dataValidation>
    <dataValidation type="list" allowBlank="1" showErrorMessage="1" sqref="E14">
      <formula1>INDIRECT($C$14)</formula1>
    </dataValidation>
    <dataValidation type="list" allowBlank="1" showErrorMessage="1" sqref="H23">
      <formula1>INDIRECT($G$23)</formula1>
    </dataValidation>
    <dataValidation type="list" allowBlank="1" showErrorMessage="1" sqref="H21">
      <formula1>INDIRECT($G$21)</formula1>
    </dataValidation>
    <dataValidation type="list" allowBlank="1" showErrorMessage="1" sqref="E27">
      <formula1>INDIRECT($C$27)</formula1>
    </dataValidation>
    <dataValidation type="list" allowBlank="1" showErrorMessage="1" sqref="D20">
      <formula1>INDIRECT($B$20)</formula1>
    </dataValidation>
    <dataValidation type="list" allowBlank="1" showErrorMessage="1" sqref="E12">
      <formula1>INDIRECT($C$12)</formula1>
    </dataValidation>
    <dataValidation type="list" allowBlank="1" showErrorMessage="1" sqref="H16">
      <formula1>INDIRECT($G$16)</formula1>
    </dataValidation>
    <dataValidation type="list" allowBlank="1" showErrorMessage="1" sqref="D22">
      <formula1>INDIRECT($B$22)</formula1>
    </dataValidation>
    <dataValidation type="list" allowBlank="1" showErrorMessage="1" sqref="E25">
      <formula1>INDIRECT($C$25)</formula1>
    </dataValidation>
    <dataValidation type="list" allowBlank="1" showInputMessage="1" showErrorMessage="1" prompt="QUALITY - PLEASE MENTIONED A/B/C/D " sqref="I32">
      <formula1>"A GRADE,B GRADE,C GRADE,CM GRADE"</formula1>
    </dataValidation>
    <dataValidation type="list" allowBlank="1" showErrorMessage="1" sqref="D18">
      <formula1>INDIRECT($B$18)</formula1>
    </dataValidation>
    <dataValidation type="list" allowBlank="1" showErrorMessage="1" sqref="I13:I31">
      <formula1>"A,B,C,CM,CARB"</formula1>
    </dataValidation>
    <dataValidation type="list" allowBlank="1" showErrorMessage="1" sqref="D17">
      <formula1>INDIRECT($B$17)</formula1>
    </dataValidation>
    <dataValidation type="list" allowBlank="1" showInputMessage="1" showErrorMessage="1" prompt="Shade - Shade not in range for selected Product" sqref="E15">
      <formula1>INDIRECT($C$15)</formula1>
    </dataValidation>
    <dataValidation type="list" allowBlank="1" showErrorMessage="1" sqref="E23">
      <formula1>INDIRECT($C$23)</formula1>
    </dataValidation>
    <dataValidation type="list" allowBlank="1" showErrorMessage="1" sqref="D30">
      <formula1>INDIRECT($B$30)</formula1>
    </dataValidation>
    <dataValidation type="list" allowBlank="1" showErrorMessage="1" sqref="H19">
      <formula1>INDIRECT($G$19)</formula1>
    </dataValidation>
    <dataValidation type="list" allowBlank="1" showErrorMessage="1" sqref="E21">
      <formula1>INDIRECT($C$21)</formula1>
    </dataValidation>
    <dataValidation type="list" allowBlank="1" showErrorMessage="1" sqref="D15">
      <formula1>INDIRECT($B$15)</formula1>
    </dataValidation>
    <dataValidation type="list" allowBlank="1" showErrorMessage="1" sqref="H31">
      <formula1>INDIRECT($G$31)</formula1>
    </dataValidation>
    <dataValidation type="list" allowBlank="1" showErrorMessage="1" sqref="H14">
      <formula1>INDIRECT($G$14)</formula1>
    </dataValidation>
    <dataValidation type="list" allowBlank="1" showErrorMessage="1" sqref="D13">
      <formula1>INDIRECT($B$13)</formula1>
    </dataValidation>
    <dataValidation type="list" allowBlank="1" showErrorMessage="1" sqref="D29">
      <formula1>INDIRECT($B$29)</formula1>
    </dataValidation>
    <dataValidation type="list" allowBlank="1" showErrorMessage="1" sqref="H12">
      <formula1>INDIRECT($G$12)</formula1>
    </dataValidation>
    <dataValidation type="list" allowBlank="1" showErrorMessage="1" sqref="E18">
      <formula1>INDIRECT($C$18)</formula1>
    </dataValidation>
    <dataValidation type="list" allowBlank="1" showErrorMessage="1" sqref="D27">
      <formula1>INDIRECT($B$27)</formula1>
    </dataValidation>
    <dataValidation type="list" allowBlank="1" showErrorMessage="1" sqref="H26">
      <formula1>INDIRECT($G$26)</formula1>
    </dataValidation>
    <dataValidation type="list" allowBlank="1" showErrorMessage="1" sqref="E30">
      <formula1>INDIRECT($C$30)</formula1>
    </dataValidation>
    <dataValidation type="list" allowBlank="1" showErrorMessage="1" sqref="D23">
      <formula1>INDIRECT($B$23)</formula1>
    </dataValidation>
    <dataValidation type="list" allowBlank="1" showErrorMessage="1" sqref="D25">
      <formula1>INDIRECT($B$25)</formula1>
    </dataValidation>
    <dataValidation type="list" allowBlank="1" showErrorMessage="1" sqref="E13">
      <formula1>INDIRECT($C$13)</formula1>
    </dataValidation>
    <dataValidation type="list" allowBlank="1" showErrorMessage="1" sqref="H28">
      <formula1>INDIRECT($G$28)</formula1>
    </dataValidation>
    <dataValidation type="list" allowBlank="1" showErrorMessage="1" sqref="H24">
      <formula1>INDIRECT($G$24)</formula1>
    </dataValidation>
    <dataValidation type="list" allowBlank="1" showErrorMessage="1" sqref="E28">
      <formula1>INDIRECT($C$28)</formula1>
    </dataValidation>
    <dataValidation type="list" allowBlank="1" showErrorMessage="1" sqref="H22">
      <formula1>INDIRECT($G$22)</formula1>
    </dataValidation>
    <dataValidation type="list" allowBlank="1" showErrorMessage="1" sqref="I12">
      <formula1>"A,B,C,CM,CARB,ROLL"</formula1>
    </dataValidation>
    <dataValidation type="list" allowBlank="1" showErrorMessage="1" sqref="H17">
      <formula1>INDIRECT($G$17)</formula1>
    </dataValidation>
    <dataValidation type="list" allowBlank="1" showErrorMessage="1" sqref="D19">
      <formula1>INDIRECT($B$19)</formula1>
    </dataValidation>
    <dataValidation type="list" allowBlank="1" showErrorMessage="1" sqref="D21">
      <formula1>INDIRECT($B$21)</formula1>
    </dataValidation>
    <dataValidation type="list" allowBlank="1" showErrorMessage="1" sqref="H20">
      <formula1>INDIRECT($G$20)</formula1>
    </dataValidation>
    <dataValidation type="list" allowBlank="1" showErrorMessage="1" sqref="D31">
      <formula1>INDIRECT($B$31)</formula1>
    </dataValidation>
    <dataValidation type="list" allowBlank="1" showErrorMessage="1" sqref="E22">
      <formula1>INDIRECT($C$22)</formula1>
    </dataValidation>
    <dataValidation type="list" allowBlank="1" showErrorMessage="1" sqref="H18">
      <formula1>INDIRECT($G$18)</formula1>
    </dataValidation>
    <dataValidation type="list" allowBlank="1" showErrorMessage="1" sqref="D16">
      <formula1>INDIRECT($B$16)</formula1>
    </dataValidation>
    <dataValidation type="list" allowBlank="1" showErrorMessage="1" sqref="E24">
      <formula1>INDIRECT($C$24)</formula1>
    </dataValidation>
    <dataValidation type="list" allowBlank="1" showErrorMessage="1" sqref="H15">
      <formula1>INDIRECT($G$15)</formula1>
    </dataValidation>
    <dataValidation type="list" allowBlank="1" showInputMessage="1" showErrorMessage="1" prompt="Shade - Shade not in range for selected Product" sqref="E26">
      <formula1>INDIRECT($C$26)</formula1>
    </dataValidation>
    <dataValidation type="list" allowBlank="1" showErrorMessage="1" sqref="D12">
      <formula1>INDIRECT($B$12)</formula1>
    </dataValidation>
    <dataValidation type="list" allowBlank="1" showErrorMessage="1" sqref="H13">
      <formula1>INDIRECT($G$13)</formula1>
    </dataValidation>
    <dataValidation type="list" allowBlank="1" showErrorMessage="1" sqref="E19">
      <formula1>INDIRECT($C$19)</formula1>
    </dataValidation>
    <dataValidation type="list" allowBlank="1" showErrorMessage="1" sqref="D14">
      <formula1>INDIRECT($B$14)</formula1>
    </dataValidation>
    <dataValidation type="list" allowBlank="1" showErrorMessage="1" sqref="D28">
      <formula1>INDIRECT($B$28)</formula1>
    </dataValidation>
    <dataValidation type="list" allowBlank="1" showErrorMessage="1" sqref="H30">
      <formula1>INDIRECT($G$30)</formula1>
    </dataValidation>
    <dataValidation type="list" allowBlank="1" showErrorMessage="1" sqref="E20">
      <formula1>INDIRECT($C$20)</formula1>
    </dataValidation>
    <dataValidation type="list" allowBlank="1" showInputMessage="1" showErrorMessage="1" prompt="Shade - Shade not in range for selected Product" sqref="E32">
      <formula1>INDIRECT($C$12)</formula1>
    </dataValidation>
    <dataValidation type="list" allowBlank="1" showErrorMessage="1" sqref="D26">
      <formula1>INDIRECT($B$26)</formula1>
    </dataValidation>
    <dataValidation type="list" allowBlank="1" showErrorMessage="1" sqref="E17">
      <formula1>INDIRECT($C$17)</formula1>
    </dataValidation>
  </dataValidations>
  <printOptions/>
  <pageMargins bottom="0.31496062992125984" footer="0.0" header="0.0" left="0.2755905511811024" right="0.2755905511811024" top="0.433070866141732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3" width="29.71"/>
    <col customWidth="1" min="4" max="4" width="39.71"/>
    <col customWidth="1" min="5" max="5" width="9.43"/>
    <col customWidth="1" min="6" max="6" width="19.43"/>
    <col customWidth="1" min="7" max="7" width="5.29"/>
    <col customWidth="1" min="8" max="8" width="9.14"/>
    <col customWidth="1" min="9" max="9" width="8.43"/>
    <col customWidth="1" min="10" max="10" width="18.43"/>
    <col customWidth="1" min="11" max="12" width="9.14"/>
    <col customWidth="1" min="13" max="13" width="9.71"/>
    <col customWidth="1" min="14" max="14" width="17.57"/>
    <col customWidth="1" min="15" max="16" width="9.14"/>
    <col customWidth="1" min="17" max="17" width="8.43"/>
    <col customWidth="1" min="18" max="18" width="19.57"/>
    <col customWidth="1" min="19" max="19" width="9.14"/>
    <col customWidth="1" min="20" max="20" width="7.86"/>
    <col customWidth="1" min="21" max="21" width="19.43"/>
    <col customWidth="1" min="22" max="22" width="5.29"/>
    <col customWidth="1" min="23" max="23" width="26.29"/>
    <col customWidth="1" min="24" max="24" width="9.14"/>
    <col customWidth="1" min="25" max="25" width="10.71"/>
    <col customWidth="1" min="26" max="27" width="9.14"/>
    <col customWidth="1" min="28" max="28" width="14.86"/>
    <col customWidth="1" min="29" max="29" width="9.14"/>
    <col customWidth="1" min="30" max="30" width="8.43"/>
    <col customWidth="1" min="31" max="31" width="18.43"/>
    <col customWidth="1" min="32" max="36" width="9.14"/>
    <col customWidth="1" min="37" max="37" width="10.71"/>
    <col customWidth="1" min="38" max="38" width="6.71"/>
    <col customWidth="1" min="39" max="39" width="21.14"/>
    <col customWidth="1" min="40" max="42" width="9.14"/>
    <col customWidth="1" min="43" max="43" width="16.29"/>
    <col customWidth="1" min="44" max="44" width="2.43"/>
    <col customWidth="1" min="45" max="47" width="9.14"/>
    <col customWidth="1" min="48" max="48" width="21.0"/>
    <col customWidth="1" min="49" max="51" width="9.14"/>
    <col customWidth="1" min="52" max="52" width="14.71"/>
    <col customWidth="1" min="53" max="55" width="9.14"/>
    <col customWidth="1" min="56" max="56" width="12.29"/>
    <col customWidth="1" min="57" max="57" width="19.57"/>
    <col customWidth="1" min="58" max="60" width="9.14"/>
    <col customWidth="1" min="61" max="61" width="12.29"/>
    <col customWidth="1" min="62" max="62" width="19.57"/>
    <col customWidth="1" min="63" max="66" width="9.14"/>
  </cols>
  <sheetData>
    <row r="1" ht="15.0" customHeight="1">
      <c r="A1" s="1" t="s">
        <v>0</v>
      </c>
      <c r="B1" s="2" t="s">
        <v>1</v>
      </c>
      <c r="C1" s="3" t="s">
        <v>3</v>
      </c>
      <c r="D1" s="4"/>
      <c r="E1" s="6" t="s">
        <v>4</v>
      </c>
      <c r="F1" s="4"/>
      <c r="G1" s="4"/>
      <c r="H1" s="9"/>
      <c r="I1" s="10" t="s">
        <v>5</v>
      </c>
      <c r="J1" s="9"/>
      <c r="K1" s="9"/>
      <c r="L1" s="9"/>
      <c r="M1" s="12" t="s">
        <v>7</v>
      </c>
      <c r="N1" s="12"/>
      <c r="O1" s="9"/>
      <c r="P1" s="9"/>
      <c r="Q1" s="10" t="s">
        <v>8</v>
      </c>
      <c r="R1" s="9"/>
      <c r="S1" s="9"/>
      <c r="T1" s="10" t="s">
        <v>10</v>
      </c>
      <c r="U1" s="9" t="s">
        <v>11</v>
      </c>
      <c r="V1" s="9"/>
      <c r="W1" s="9" t="s">
        <v>12</v>
      </c>
      <c r="X1" s="9" t="s">
        <v>12</v>
      </c>
      <c r="Y1" s="9"/>
      <c r="Z1" s="9" t="s">
        <v>13</v>
      </c>
      <c r="AA1" s="9" t="s">
        <v>14</v>
      </c>
      <c r="AB1" s="9" t="s">
        <v>15</v>
      </c>
      <c r="AC1" s="9"/>
      <c r="AD1" s="10" t="s">
        <v>16</v>
      </c>
      <c r="AE1" s="16">
        <v>111.0</v>
      </c>
      <c r="AF1" s="9"/>
      <c r="AG1" s="9"/>
      <c r="AH1" s="9"/>
      <c r="AI1" s="9"/>
      <c r="AJ1" s="9"/>
      <c r="AK1" s="9"/>
      <c r="AL1" s="9" t="s">
        <v>17</v>
      </c>
      <c r="AM1" s="9"/>
      <c r="AN1" s="9"/>
      <c r="AO1" s="9"/>
      <c r="AP1" s="9" t="s">
        <v>18</v>
      </c>
      <c r="AQ1" s="9"/>
      <c r="AR1" s="9"/>
      <c r="AS1" s="9"/>
      <c r="AT1" s="9"/>
      <c r="AU1" s="9"/>
      <c r="AV1" s="9"/>
      <c r="AW1" s="9"/>
      <c r="AX1" s="9"/>
      <c r="AY1" s="10" t="s">
        <v>19</v>
      </c>
      <c r="AZ1" s="9"/>
      <c r="BA1" s="9"/>
      <c r="BB1" s="9"/>
      <c r="BC1" s="9"/>
      <c r="BD1" s="9" t="s">
        <v>20</v>
      </c>
      <c r="BE1" s="9"/>
      <c r="BF1" s="9"/>
      <c r="BG1" s="9"/>
      <c r="BH1" s="9"/>
      <c r="BI1" s="9" t="s">
        <v>21</v>
      </c>
      <c r="BJ1" s="9"/>
      <c r="BK1" s="9"/>
      <c r="BL1" s="9"/>
      <c r="BM1" s="9"/>
      <c r="BN1" s="9"/>
    </row>
    <row r="2" ht="15.0" customHeight="1">
      <c r="A2" s="21" t="s">
        <v>22</v>
      </c>
      <c r="B2" s="22" t="s">
        <v>22</v>
      </c>
      <c r="C2" s="24" t="s">
        <v>22</v>
      </c>
      <c r="D2" s="16"/>
      <c r="E2" s="25" t="s">
        <v>23</v>
      </c>
      <c r="F2" s="26" t="s">
        <v>24</v>
      </c>
      <c r="G2" s="27"/>
      <c r="H2" s="9"/>
      <c r="I2" s="28" t="s">
        <v>23</v>
      </c>
      <c r="J2" s="29" t="s">
        <v>24</v>
      </c>
      <c r="K2" s="29"/>
      <c r="L2" s="9"/>
      <c r="M2" s="12" t="s">
        <v>23</v>
      </c>
      <c r="N2" s="12" t="s">
        <v>24</v>
      </c>
      <c r="O2" s="29" t="s">
        <v>25</v>
      </c>
      <c r="P2" s="9"/>
      <c r="Q2" s="28" t="s">
        <v>23</v>
      </c>
      <c r="R2" s="29" t="s">
        <v>24</v>
      </c>
      <c r="S2" s="29"/>
      <c r="T2" s="28" t="s">
        <v>23</v>
      </c>
      <c r="U2" s="29" t="s">
        <v>24</v>
      </c>
      <c r="V2" s="29" t="s">
        <v>25</v>
      </c>
      <c r="W2" s="34" t="s">
        <v>22</v>
      </c>
      <c r="X2" s="9" t="s">
        <v>26</v>
      </c>
      <c r="Y2" s="9"/>
      <c r="Z2" s="9" t="s">
        <v>27</v>
      </c>
      <c r="AA2" s="35">
        <v>403.0</v>
      </c>
      <c r="AB2" s="35" t="s">
        <v>28</v>
      </c>
      <c r="AC2" s="9"/>
      <c r="AD2" s="36" t="s">
        <v>29</v>
      </c>
      <c r="AE2" s="36" t="s">
        <v>30</v>
      </c>
      <c r="AF2" s="9"/>
      <c r="AG2" s="9" t="s">
        <v>31</v>
      </c>
      <c r="AH2" s="9"/>
      <c r="AI2" s="9"/>
      <c r="AJ2" s="9"/>
      <c r="AK2" s="9"/>
      <c r="AL2" s="28" t="s">
        <v>23</v>
      </c>
      <c r="AM2" s="29" t="s">
        <v>24</v>
      </c>
      <c r="AN2" s="29" t="s">
        <v>25</v>
      </c>
      <c r="AO2" s="9"/>
      <c r="AP2" s="28" t="s">
        <v>23</v>
      </c>
      <c r="AQ2" s="38" t="s">
        <v>24</v>
      </c>
      <c r="AR2" s="9"/>
      <c r="AS2" s="9"/>
      <c r="AT2" s="9"/>
      <c r="AU2" s="9"/>
      <c r="AV2" s="9"/>
      <c r="AW2" s="9"/>
      <c r="AX2" s="9"/>
      <c r="AY2" s="29" t="s">
        <v>23</v>
      </c>
      <c r="AZ2" s="29" t="s">
        <v>24</v>
      </c>
      <c r="BA2" s="29" t="s">
        <v>25</v>
      </c>
      <c r="BB2" s="9"/>
      <c r="BC2" s="9"/>
      <c r="BD2" s="42" t="s">
        <v>23</v>
      </c>
      <c r="BE2" s="42" t="s">
        <v>24</v>
      </c>
      <c r="BF2" s="9"/>
      <c r="BG2" s="9"/>
      <c r="BH2" s="9"/>
      <c r="BI2" s="42" t="s">
        <v>23</v>
      </c>
      <c r="BJ2" s="42" t="s">
        <v>24</v>
      </c>
      <c r="BK2" s="9"/>
      <c r="BL2" s="9"/>
      <c r="BM2" s="9" t="s">
        <v>26</v>
      </c>
      <c r="BN2" s="9" t="s">
        <v>34</v>
      </c>
    </row>
    <row r="3" ht="15.0" customHeight="1">
      <c r="A3" s="21" t="s">
        <v>35</v>
      </c>
      <c r="B3" s="22" t="s">
        <v>36</v>
      </c>
      <c r="C3" s="24">
        <v>5.486</v>
      </c>
      <c r="D3" s="16"/>
      <c r="E3" s="35" t="s">
        <v>37</v>
      </c>
      <c r="F3" s="35" t="s">
        <v>38</v>
      </c>
      <c r="G3" s="44"/>
      <c r="H3" s="9"/>
      <c r="I3" s="35" t="s">
        <v>37</v>
      </c>
      <c r="J3" s="35" t="s">
        <v>38</v>
      </c>
      <c r="K3" s="12"/>
      <c r="L3" s="9"/>
      <c r="M3" s="35" t="s">
        <v>40</v>
      </c>
      <c r="N3" s="35" t="s">
        <v>41</v>
      </c>
      <c r="O3" s="45"/>
      <c r="P3" s="27"/>
      <c r="Q3" s="35" t="s">
        <v>42</v>
      </c>
      <c r="R3" s="35" t="s">
        <v>43</v>
      </c>
      <c r="S3" s="45"/>
      <c r="T3" s="35" t="s">
        <v>37</v>
      </c>
      <c r="U3" s="35" t="s">
        <v>38</v>
      </c>
      <c r="V3" s="12"/>
      <c r="W3" s="34" t="s">
        <v>35</v>
      </c>
      <c r="X3" s="9" t="s">
        <v>4</v>
      </c>
      <c r="Y3" s="9"/>
      <c r="Z3" s="9" t="s">
        <v>44</v>
      </c>
      <c r="AA3" s="35">
        <v>407.0</v>
      </c>
      <c r="AB3" s="35" t="s">
        <v>45</v>
      </c>
      <c r="AC3" s="9"/>
      <c r="AD3" s="35" t="s">
        <v>37</v>
      </c>
      <c r="AE3" s="35" t="s">
        <v>38</v>
      </c>
      <c r="AF3" s="9"/>
      <c r="AG3" s="9"/>
      <c r="AH3" s="9"/>
      <c r="AI3" s="48" t="s">
        <v>46</v>
      </c>
      <c r="AJ3" s="9"/>
      <c r="AK3" s="9"/>
      <c r="AL3" s="12">
        <v>1001.0</v>
      </c>
      <c r="AM3" s="12" t="s">
        <v>48</v>
      </c>
      <c r="AN3" s="45" t="s">
        <v>49</v>
      </c>
      <c r="AO3" s="9"/>
      <c r="AP3" s="12">
        <v>3008.0</v>
      </c>
      <c r="AQ3" s="12" t="s">
        <v>50</v>
      </c>
      <c r="AR3" s="45"/>
      <c r="AS3" s="9"/>
      <c r="AT3" s="9"/>
      <c r="AU3" s="9"/>
      <c r="AV3" s="21" t="s">
        <v>35</v>
      </c>
      <c r="AW3" s="9" t="s">
        <v>52</v>
      </c>
      <c r="AX3" s="9"/>
      <c r="AY3" s="35" t="s">
        <v>53</v>
      </c>
      <c r="AZ3" s="35" t="s">
        <v>54</v>
      </c>
      <c r="BA3" s="45"/>
      <c r="BB3" s="9"/>
      <c r="BC3" s="9"/>
      <c r="BD3" s="54">
        <v>1101.0</v>
      </c>
      <c r="BE3" s="55" t="s">
        <v>43</v>
      </c>
      <c r="BF3" s="9"/>
      <c r="BG3" s="9"/>
      <c r="BH3" s="9"/>
      <c r="BI3" s="56">
        <v>1102.0</v>
      </c>
      <c r="BJ3" s="57" t="s">
        <v>55</v>
      </c>
      <c r="BK3" s="9"/>
      <c r="BL3" s="9"/>
      <c r="BM3" s="9" t="s">
        <v>4</v>
      </c>
      <c r="BN3" s="9" t="s">
        <v>52</v>
      </c>
    </row>
    <row r="4" ht="15.0" customHeight="1">
      <c r="A4" s="21" t="s">
        <v>56</v>
      </c>
      <c r="B4" s="22" t="s">
        <v>57</v>
      </c>
      <c r="C4" s="24">
        <v>5.632</v>
      </c>
      <c r="D4" s="58"/>
      <c r="E4" s="35" t="s">
        <v>58</v>
      </c>
      <c r="F4" s="35" t="s">
        <v>59</v>
      </c>
      <c r="G4" s="44"/>
      <c r="H4" s="9"/>
      <c r="I4" s="35" t="s">
        <v>58</v>
      </c>
      <c r="J4" s="35" t="s">
        <v>59</v>
      </c>
      <c r="K4" s="12"/>
      <c r="L4" s="9"/>
      <c r="M4" s="35" t="s">
        <v>61</v>
      </c>
      <c r="N4" s="35" t="s">
        <v>62</v>
      </c>
      <c r="O4" s="45"/>
      <c r="P4" s="62"/>
      <c r="Q4" s="35" t="s">
        <v>63</v>
      </c>
      <c r="R4" s="35" t="s">
        <v>55</v>
      </c>
      <c r="S4" s="45"/>
      <c r="T4" s="35" t="s">
        <v>58</v>
      </c>
      <c r="U4" s="35" t="s">
        <v>59</v>
      </c>
      <c r="V4" s="12"/>
      <c r="W4" s="21" t="s">
        <v>56</v>
      </c>
      <c r="X4" s="9" t="s">
        <v>65</v>
      </c>
      <c r="Y4" s="9"/>
      <c r="Z4" s="9"/>
      <c r="AA4" s="35">
        <v>410.0</v>
      </c>
      <c r="AB4" s="35" t="s">
        <v>66</v>
      </c>
      <c r="AC4" s="9"/>
      <c r="AD4" s="35" t="s">
        <v>58</v>
      </c>
      <c r="AE4" s="35" t="s">
        <v>59</v>
      </c>
      <c r="AF4" s="9"/>
      <c r="AG4" s="9"/>
      <c r="AH4" s="9"/>
      <c r="AI4" s="48" t="s">
        <v>67</v>
      </c>
      <c r="AJ4" s="9"/>
      <c r="AK4" s="9"/>
      <c r="AL4" s="12">
        <v>1101.0</v>
      </c>
      <c r="AM4" s="12" t="s">
        <v>68</v>
      </c>
      <c r="AN4" s="45" t="s">
        <v>49</v>
      </c>
      <c r="AO4" s="9"/>
      <c r="AP4" s="12">
        <v>3345.0</v>
      </c>
      <c r="AQ4" s="12" t="s">
        <v>69</v>
      </c>
      <c r="AR4" s="45"/>
      <c r="AS4" s="9"/>
      <c r="AT4" s="9"/>
      <c r="AU4" s="9"/>
      <c r="AV4" s="21" t="s">
        <v>71</v>
      </c>
      <c r="AW4" s="9" t="s">
        <v>72</v>
      </c>
      <c r="AX4" s="9"/>
      <c r="AY4" s="35" t="s">
        <v>73</v>
      </c>
      <c r="AZ4" s="35" t="s">
        <v>74</v>
      </c>
      <c r="BA4" s="45"/>
      <c r="BB4" s="9"/>
      <c r="BC4" s="9"/>
      <c r="BD4" s="54">
        <v>1102.0</v>
      </c>
      <c r="BE4" s="55" t="s">
        <v>55</v>
      </c>
      <c r="BF4" s="9"/>
      <c r="BG4" s="9"/>
      <c r="BH4" s="9"/>
      <c r="BI4" s="56">
        <v>1103.0</v>
      </c>
      <c r="BJ4" s="57" t="s">
        <v>76</v>
      </c>
      <c r="BK4" s="9"/>
      <c r="BL4" s="9"/>
      <c r="BM4" s="9"/>
      <c r="BN4" s="9"/>
    </row>
    <row r="5" ht="15.0" customHeight="1">
      <c r="A5" s="21" t="s">
        <v>71</v>
      </c>
      <c r="B5" s="22" t="s">
        <v>77</v>
      </c>
      <c r="C5" s="24">
        <v>6.591</v>
      </c>
      <c r="D5" s="58"/>
      <c r="E5" s="35" t="s">
        <v>42</v>
      </c>
      <c r="F5" s="35" t="s">
        <v>43</v>
      </c>
      <c r="G5" s="44"/>
      <c r="H5" s="9"/>
      <c r="I5" s="35" t="s">
        <v>42</v>
      </c>
      <c r="J5" s="35" t="s">
        <v>43</v>
      </c>
      <c r="K5" s="12"/>
      <c r="L5" s="9"/>
      <c r="M5" s="35" t="s">
        <v>82</v>
      </c>
      <c r="N5" s="35" t="s">
        <v>84</v>
      </c>
      <c r="O5" s="45"/>
      <c r="P5" s="62"/>
      <c r="Q5" s="35" t="s">
        <v>86</v>
      </c>
      <c r="R5" s="35" t="s">
        <v>76</v>
      </c>
      <c r="S5" s="45"/>
      <c r="T5" s="35" t="s">
        <v>42</v>
      </c>
      <c r="U5" s="35" t="s">
        <v>43</v>
      </c>
      <c r="V5" s="12"/>
      <c r="W5" s="21" t="s">
        <v>71</v>
      </c>
      <c r="X5" s="9" t="s">
        <v>5</v>
      </c>
      <c r="Y5" s="9" t="s">
        <v>13</v>
      </c>
      <c r="Z5" s="9" t="s">
        <v>27</v>
      </c>
      <c r="AA5" s="35">
        <v>411.0</v>
      </c>
      <c r="AB5" s="35" t="s">
        <v>90</v>
      </c>
      <c r="AC5" s="9"/>
      <c r="AD5" s="35" t="s">
        <v>42</v>
      </c>
      <c r="AE5" s="35" t="s">
        <v>43</v>
      </c>
      <c r="AF5" s="9"/>
      <c r="AG5" s="9"/>
      <c r="AH5" s="9"/>
      <c r="AI5" s="48" t="s">
        <v>91</v>
      </c>
      <c r="AJ5" s="9"/>
      <c r="AK5" s="9"/>
      <c r="AL5" s="12">
        <v>1102.0</v>
      </c>
      <c r="AM5" s="12" t="s">
        <v>55</v>
      </c>
      <c r="AN5" s="45" t="s">
        <v>49</v>
      </c>
      <c r="AO5" s="9"/>
      <c r="AP5" s="12">
        <v>3341.0</v>
      </c>
      <c r="AQ5" s="12" t="s">
        <v>92</v>
      </c>
      <c r="AR5" s="45"/>
      <c r="AS5" s="9"/>
      <c r="AT5" s="9"/>
      <c r="AU5" s="9"/>
      <c r="AV5" s="9"/>
      <c r="AW5" s="9"/>
      <c r="AX5" s="9"/>
      <c r="AY5" s="35" t="s">
        <v>93</v>
      </c>
      <c r="AZ5" s="35" t="s">
        <v>94</v>
      </c>
      <c r="BA5" s="45"/>
      <c r="BB5" s="9"/>
      <c r="BC5" s="9"/>
      <c r="BD5" s="54">
        <v>1103.0</v>
      </c>
      <c r="BE5" s="55" t="s">
        <v>76</v>
      </c>
      <c r="BF5" s="9"/>
      <c r="BG5" s="9"/>
      <c r="BH5" s="9"/>
      <c r="BI5" s="56">
        <v>1104.0</v>
      </c>
      <c r="BJ5" s="57" t="s">
        <v>95</v>
      </c>
      <c r="BK5" s="9"/>
      <c r="BL5" s="9"/>
      <c r="BM5" s="9"/>
      <c r="BN5" s="9"/>
    </row>
    <row r="6" ht="15.0" customHeight="1">
      <c r="A6" s="21" t="s">
        <v>97</v>
      </c>
      <c r="B6" s="22" t="s">
        <v>98</v>
      </c>
      <c r="C6" s="24">
        <v>11.534</v>
      </c>
      <c r="D6" s="58"/>
      <c r="E6" s="35" t="s">
        <v>63</v>
      </c>
      <c r="F6" s="35" t="s">
        <v>55</v>
      </c>
      <c r="G6" s="44"/>
      <c r="H6" s="9"/>
      <c r="I6" s="35" t="s">
        <v>63</v>
      </c>
      <c r="J6" s="35" t="s">
        <v>55</v>
      </c>
      <c r="K6" s="12"/>
      <c r="L6" s="9"/>
      <c r="M6" s="35" t="s">
        <v>99</v>
      </c>
      <c r="N6" s="35" t="s">
        <v>100</v>
      </c>
      <c r="O6" s="45"/>
      <c r="P6" s="62"/>
      <c r="Q6" s="35" t="s">
        <v>101</v>
      </c>
      <c r="R6" s="35" t="s">
        <v>95</v>
      </c>
      <c r="S6" s="45"/>
      <c r="T6" s="35" t="s">
        <v>63</v>
      </c>
      <c r="U6" s="35" t="s">
        <v>55</v>
      </c>
      <c r="V6" s="12"/>
      <c r="W6" s="21" t="s">
        <v>102</v>
      </c>
      <c r="X6" s="9" t="s">
        <v>5</v>
      </c>
      <c r="Y6" s="9" t="s">
        <v>13</v>
      </c>
      <c r="Z6" s="9" t="s">
        <v>44</v>
      </c>
      <c r="AA6" s="35">
        <v>412.0</v>
      </c>
      <c r="AB6" s="35" t="s">
        <v>104</v>
      </c>
      <c r="AC6" s="9"/>
      <c r="AD6" s="35" t="s">
        <v>63</v>
      </c>
      <c r="AE6" s="35" t="s">
        <v>55</v>
      </c>
      <c r="AF6" s="9"/>
      <c r="AG6" s="9"/>
      <c r="AH6" s="9"/>
      <c r="AI6" s="48" t="s">
        <v>106</v>
      </c>
      <c r="AJ6" s="9"/>
      <c r="AK6" s="9"/>
      <c r="AL6" s="12">
        <v>1103.0</v>
      </c>
      <c r="AM6" s="12" t="s">
        <v>76</v>
      </c>
      <c r="AN6" s="45" t="s">
        <v>49</v>
      </c>
      <c r="AO6" s="9"/>
      <c r="AP6" s="12">
        <v>3091.0</v>
      </c>
      <c r="AQ6" s="12" t="s">
        <v>107</v>
      </c>
      <c r="AR6" s="45"/>
      <c r="AS6" s="9"/>
      <c r="AT6" s="9"/>
      <c r="AU6" s="9"/>
      <c r="AV6" s="9"/>
      <c r="AW6" s="9"/>
      <c r="AX6" s="9"/>
      <c r="AY6" s="35" t="s">
        <v>108</v>
      </c>
      <c r="AZ6" s="35" t="s">
        <v>109</v>
      </c>
      <c r="BA6" s="45"/>
      <c r="BB6" s="9"/>
      <c r="BC6" s="9"/>
      <c r="BD6" s="54">
        <v>1104.0</v>
      </c>
      <c r="BE6" s="55" t="s">
        <v>95</v>
      </c>
      <c r="BF6" s="9"/>
      <c r="BG6" s="9"/>
      <c r="BH6" s="9"/>
      <c r="BI6" s="56">
        <v>1113.0</v>
      </c>
      <c r="BJ6" s="57" t="s">
        <v>110</v>
      </c>
      <c r="BK6" s="9"/>
      <c r="BL6" s="9"/>
      <c r="BM6" s="9"/>
      <c r="BN6" s="9"/>
    </row>
    <row r="7" ht="15.0" customHeight="1">
      <c r="A7" s="21" t="s">
        <v>102</v>
      </c>
      <c r="B7" s="22" t="s">
        <v>111</v>
      </c>
      <c r="C7" s="24">
        <v>8.065</v>
      </c>
      <c r="D7" s="58"/>
      <c r="E7" s="35" t="s">
        <v>86</v>
      </c>
      <c r="F7" s="35" t="s">
        <v>76</v>
      </c>
      <c r="G7" s="44"/>
      <c r="H7" s="9"/>
      <c r="I7" s="35" t="s">
        <v>86</v>
      </c>
      <c r="J7" s="35" t="s">
        <v>76</v>
      </c>
      <c r="K7" s="12"/>
      <c r="L7" s="9"/>
      <c r="M7" s="35" t="s">
        <v>112</v>
      </c>
      <c r="N7" s="35" t="s">
        <v>113</v>
      </c>
      <c r="O7" s="45"/>
      <c r="P7" s="62"/>
      <c r="Q7" s="35" t="s">
        <v>114</v>
      </c>
      <c r="R7" s="35" t="s">
        <v>115</v>
      </c>
      <c r="S7" s="45"/>
      <c r="T7" s="35" t="s">
        <v>86</v>
      </c>
      <c r="U7" s="35" t="s">
        <v>76</v>
      </c>
      <c r="V7" s="12"/>
      <c r="W7" s="16" t="s">
        <v>116</v>
      </c>
      <c r="X7" s="9" t="s">
        <v>117</v>
      </c>
      <c r="Y7" s="9" t="s">
        <v>118</v>
      </c>
      <c r="Z7" s="9" t="s">
        <v>27</v>
      </c>
      <c r="AA7" s="35">
        <v>413.0</v>
      </c>
      <c r="AB7" s="35" t="s">
        <v>119</v>
      </c>
      <c r="AC7" s="9"/>
      <c r="AD7" s="35" t="s">
        <v>86</v>
      </c>
      <c r="AE7" s="35" t="s">
        <v>76</v>
      </c>
      <c r="AF7" s="9"/>
      <c r="AG7" s="9"/>
      <c r="AH7" s="9"/>
      <c r="AI7" s="9"/>
      <c r="AJ7" s="9"/>
      <c r="AK7" s="9"/>
      <c r="AL7" s="12">
        <v>1104.0</v>
      </c>
      <c r="AM7" s="12" t="s">
        <v>120</v>
      </c>
      <c r="AN7" s="45" t="s">
        <v>49</v>
      </c>
      <c r="AO7" s="9"/>
      <c r="AP7" s="9" t="s">
        <v>121</v>
      </c>
      <c r="AQ7" s="9"/>
      <c r="AR7" s="9"/>
      <c r="AS7" s="9"/>
      <c r="AT7" s="9"/>
      <c r="AU7" s="9"/>
      <c r="AV7" s="9"/>
      <c r="AW7" s="9"/>
      <c r="AX7" s="9"/>
      <c r="AY7" s="35" t="s">
        <v>122</v>
      </c>
      <c r="AZ7" s="35" t="s">
        <v>123</v>
      </c>
      <c r="BA7" s="45"/>
      <c r="BB7" s="9"/>
      <c r="BC7" s="9"/>
      <c r="BD7" s="54">
        <v>1105.0</v>
      </c>
      <c r="BE7" s="55" t="s">
        <v>115</v>
      </c>
      <c r="BF7" s="9"/>
      <c r="BG7" s="9"/>
      <c r="BH7" s="9"/>
      <c r="BI7" s="56">
        <v>1105.0</v>
      </c>
      <c r="BJ7" s="57" t="s">
        <v>115</v>
      </c>
      <c r="BK7" s="9"/>
      <c r="BL7" s="9"/>
      <c r="BM7" s="9"/>
      <c r="BN7" s="9"/>
    </row>
    <row r="8" ht="15.0" customHeight="1">
      <c r="A8" s="16" t="s">
        <v>116</v>
      </c>
      <c r="B8" s="22" t="s">
        <v>124</v>
      </c>
      <c r="C8" s="24">
        <v>8.163</v>
      </c>
      <c r="D8" s="58"/>
      <c r="E8" s="35" t="s">
        <v>101</v>
      </c>
      <c r="F8" s="35" t="s">
        <v>95</v>
      </c>
      <c r="G8" s="44"/>
      <c r="H8" s="9"/>
      <c r="I8" s="35" t="s">
        <v>101</v>
      </c>
      <c r="J8" s="35" t="s">
        <v>95</v>
      </c>
      <c r="K8" s="12"/>
      <c r="L8" s="9"/>
      <c r="M8" s="35" t="s">
        <v>125</v>
      </c>
      <c r="N8" s="35" t="s">
        <v>126</v>
      </c>
      <c r="O8" s="45"/>
      <c r="P8" s="62"/>
      <c r="Q8" s="35" t="s">
        <v>127</v>
      </c>
      <c r="R8" s="35" t="s">
        <v>128</v>
      </c>
      <c r="S8" s="45"/>
      <c r="T8" s="35" t="s">
        <v>101</v>
      </c>
      <c r="U8" s="35" t="s">
        <v>95</v>
      </c>
      <c r="V8" s="12"/>
      <c r="W8" s="21" t="s">
        <v>96</v>
      </c>
      <c r="X8" s="9" t="s">
        <v>10</v>
      </c>
      <c r="Y8" s="9" t="s">
        <v>129</v>
      </c>
      <c r="Z8" s="16">
        <v>4.0</v>
      </c>
      <c r="AA8" s="35">
        <v>414.0</v>
      </c>
      <c r="AB8" s="35" t="s">
        <v>130</v>
      </c>
      <c r="AC8" s="9"/>
      <c r="AD8" s="35" t="s">
        <v>101</v>
      </c>
      <c r="AE8" s="35" t="s">
        <v>95</v>
      </c>
      <c r="AF8" s="9"/>
      <c r="AG8" s="9"/>
      <c r="AH8" s="9"/>
      <c r="AI8" s="9"/>
      <c r="AJ8" s="9"/>
      <c r="AK8" s="9"/>
      <c r="AL8" s="12">
        <v>1105.0</v>
      </c>
      <c r="AM8" s="12" t="s">
        <v>131</v>
      </c>
      <c r="AN8" s="45" t="s">
        <v>49</v>
      </c>
      <c r="AO8" s="9"/>
      <c r="AP8" s="9"/>
      <c r="AQ8" s="9"/>
      <c r="AR8" s="9"/>
      <c r="AS8" s="9"/>
      <c r="AT8" s="9"/>
      <c r="AU8" s="9"/>
      <c r="AV8" s="9"/>
      <c r="AW8" s="9"/>
      <c r="AX8" s="9"/>
      <c r="AY8" s="35" t="s">
        <v>132</v>
      </c>
      <c r="AZ8" s="35" t="s">
        <v>133</v>
      </c>
      <c r="BA8" s="45"/>
      <c r="BB8" s="9"/>
      <c r="BC8" s="9"/>
      <c r="BD8" s="54">
        <v>1106.0</v>
      </c>
      <c r="BE8" s="55" t="s">
        <v>128</v>
      </c>
      <c r="BF8" s="9"/>
      <c r="BG8" s="9"/>
      <c r="BH8" s="9"/>
      <c r="BI8" s="56">
        <v>1106.0</v>
      </c>
      <c r="BJ8" s="57" t="s">
        <v>128</v>
      </c>
      <c r="BK8" s="9"/>
      <c r="BL8" s="9"/>
      <c r="BM8" s="9"/>
      <c r="BN8" s="9"/>
    </row>
    <row r="9" ht="15.0" customHeight="1">
      <c r="A9" s="21" t="s">
        <v>96</v>
      </c>
      <c r="B9" s="22" t="s">
        <v>134</v>
      </c>
      <c r="C9" s="24">
        <v>9.419</v>
      </c>
      <c r="D9" s="58"/>
      <c r="E9" s="35" t="s">
        <v>114</v>
      </c>
      <c r="F9" s="35" t="s">
        <v>115</v>
      </c>
      <c r="G9" s="44"/>
      <c r="H9" s="9"/>
      <c r="I9" s="35" t="s">
        <v>114</v>
      </c>
      <c r="J9" s="35" t="s">
        <v>115</v>
      </c>
      <c r="K9" s="12"/>
      <c r="L9" s="9"/>
      <c r="M9" s="35" t="s">
        <v>135</v>
      </c>
      <c r="N9" s="35" t="s">
        <v>136</v>
      </c>
      <c r="O9" s="45"/>
      <c r="P9" s="62"/>
      <c r="Q9" s="35" t="s">
        <v>137</v>
      </c>
      <c r="R9" s="35" t="s">
        <v>138</v>
      </c>
      <c r="S9" s="45"/>
      <c r="T9" s="35" t="s">
        <v>114</v>
      </c>
      <c r="U9" s="35" t="s">
        <v>115</v>
      </c>
      <c r="V9" s="12"/>
      <c r="W9" s="21" t="s">
        <v>139</v>
      </c>
      <c r="X9" s="9" t="s">
        <v>8</v>
      </c>
      <c r="Y9" s="9" t="s">
        <v>129</v>
      </c>
      <c r="Z9" s="16">
        <v>5.0</v>
      </c>
      <c r="AA9" s="35">
        <v>415.0</v>
      </c>
      <c r="AB9" s="35" t="s">
        <v>140</v>
      </c>
      <c r="AC9" s="9"/>
      <c r="AD9" s="35" t="s">
        <v>114</v>
      </c>
      <c r="AE9" s="35" t="s">
        <v>115</v>
      </c>
      <c r="AF9" s="9"/>
      <c r="AG9" s="9"/>
      <c r="AH9" s="9"/>
      <c r="AI9" s="9"/>
      <c r="AJ9" s="9"/>
      <c r="AK9" s="9"/>
      <c r="AL9" s="12">
        <v>1106.0</v>
      </c>
      <c r="AM9" s="12" t="s">
        <v>128</v>
      </c>
      <c r="AN9" s="45" t="s">
        <v>49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35" t="s">
        <v>141</v>
      </c>
      <c r="AZ9" s="35" t="s">
        <v>142</v>
      </c>
      <c r="BA9" s="45"/>
      <c r="BB9" s="9"/>
      <c r="BC9" s="9"/>
      <c r="BD9" s="54">
        <v>1113.0</v>
      </c>
      <c r="BE9" s="55" t="s">
        <v>110</v>
      </c>
      <c r="BF9" s="9"/>
      <c r="BG9" s="9"/>
      <c r="BH9" s="9"/>
      <c r="BI9" s="56">
        <v>1120.0</v>
      </c>
      <c r="BJ9" s="57" t="s">
        <v>143</v>
      </c>
      <c r="BK9" s="9"/>
      <c r="BL9" s="9"/>
      <c r="BM9" s="9"/>
      <c r="BN9" s="9"/>
    </row>
    <row r="10" ht="15.0" customHeight="1">
      <c r="A10" s="16" t="s">
        <v>144</v>
      </c>
      <c r="B10" s="22" t="s">
        <v>145</v>
      </c>
      <c r="C10" s="24">
        <v>10.818</v>
      </c>
      <c r="D10" s="87"/>
      <c r="E10" s="35" t="s">
        <v>127</v>
      </c>
      <c r="F10" s="35" t="s">
        <v>128</v>
      </c>
      <c r="G10" s="44"/>
      <c r="H10" s="9"/>
      <c r="I10" s="35" t="s">
        <v>127</v>
      </c>
      <c r="J10" s="35" t="s">
        <v>128</v>
      </c>
      <c r="K10" s="12"/>
      <c r="L10" s="9"/>
      <c r="M10" s="35" t="s">
        <v>146</v>
      </c>
      <c r="N10" s="35" t="s">
        <v>147</v>
      </c>
      <c r="O10" s="45"/>
      <c r="P10" s="62"/>
      <c r="Q10" s="35" t="s">
        <v>105</v>
      </c>
      <c r="R10" s="35" t="s">
        <v>148</v>
      </c>
      <c r="S10" s="45"/>
      <c r="T10" s="35" t="s">
        <v>127</v>
      </c>
      <c r="U10" s="35" t="s">
        <v>128</v>
      </c>
      <c r="V10" s="12"/>
      <c r="W10" s="21" t="s">
        <v>149</v>
      </c>
      <c r="X10" s="9" t="s">
        <v>14</v>
      </c>
      <c r="Y10" s="9" t="s">
        <v>129</v>
      </c>
      <c r="Z10" s="16">
        <v>6.0</v>
      </c>
      <c r="AA10" s="35">
        <v>418.0</v>
      </c>
      <c r="AB10" s="35" t="s">
        <v>150</v>
      </c>
      <c r="AC10" s="9"/>
      <c r="AD10" s="35" t="s">
        <v>127</v>
      </c>
      <c r="AE10" s="35" t="s">
        <v>128</v>
      </c>
      <c r="AF10" s="9"/>
      <c r="AG10" s="9"/>
      <c r="AH10" s="9"/>
      <c r="AI10" s="9"/>
      <c r="AJ10" s="9"/>
      <c r="AK10" s="9"/>
      <c r="AL10" s="12">
        <v>1107.0</v>
      </c>
      <c r="AM10" s="12" t="s">
        <v>138</v>
      </c>
      <c r="AN10" s="45" t="s">
        <v>49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35" t="s">
        <v>151</v>
      </c>
      <c r="AZ10" s="35" t="s">
        <v>152</v>
      </c>
      <c r="BA10" s="45"/>
      <c r="BB10" s="9"/>
      <c r="BC10" s="9"/>
      <c r="BD10" s="54">
        <v>1120.0</v>
      </c>
      <c r="BE10" s="55" t="s">
        <v>143</v>
      </c>
      <c r="BF10" s="9"/>
      <c r="BG10" s="9"/>
      <c r="BH10" s="9"/>
      <c r="BI10" s="56">
        <v>1131.0</v>
      </c>
      <c r="BJ10" s="57" t="s">
        <v>153</v>
      </c>
      <c r="BK10" s="9"/>
      <c r="BL10" s="9"/>
      <c r="BM10" s="9"/>
      <c r="BN10" s="9"/>
    </row>
    <row r="11" ht="15.0" customHeight="1">
      <c r="A11" s="21" t="s">
        <v>154</v>
      </c>
      <c r="B11" s="22" t="s">
        <v>155</v>
      </c>
      <c r="C11" s="24">
        <v>8.113</v>
      </c>
      <c r="D11" s="4"/>
      <c r="E11" s="35" t="s">
        <v>137</v>
      </c>
      <c r="F11" s="35" t="s">
        <v>138</v>
      </c>
      <c r="G11" s="44"/>
      <c r="H11" s="9"/>
      <c r="I11" s="35" t="s">
        <v>137</v>
      </c>
      <c r="J11" s="35" t="s">
        <v>138</v>
      </c>
      <c r="K11" s="12"/>
      <c r="L11" s="9"/>
      <c r="M11" s="35" t="s">
        <v>156</v>
      </c>
      <c r="N11" s="35" t="s">
        <v>157</v>
      </c>
      <c r="O11" s="45"/>
      <c r="P11" s="62"/>
      <c r="Q11" s="35" t="s">
        <v>158</v>
      </c>
      <c r="R11" s="35" t="s">
        <v>159</v>
      </c>
      <c r="S11" s="45"/>
      <c r="T11" s="35" t="s">
        <v>137</v>
      </c>
      <c r="U11" s="35" t="s">
        <v>138</v>
      </c>
      <c r="V11" s="12"/>
      <c r="W11" s="34" t="s">
        <v>160</v>
      </c>
      <c r="X11" s="9" t="s">
        <v>7</v>
      </c>
      <c r="Y11" s="9" t="s">
        <v>129</v>
      </c>
      <c r="Z11" s="16">
        <v>7.0</v>
      </c>
      <c r="AA11" s="35">
        <v>425.0</v>
      </c>
      <c r="AB11" s="35" t="s">
        <v>161</v>
      </c>
      <c r="AC11" s="9"/>
      <c r="AD11" s="35" t="s">
        <v>137</v>
      </c>
      <c r="AE11" s="35" t="s">
        <v>138</v>
      </c>
      <c r="AF11" s="9"/>
      <c r="AG11" s="9"/>
      <c r="AH11" s="9"/>
      <c r="AI11" s="9"/>
      <c r="AJ11" s="9"/>
      <c r="AK11" s="9"/>
      <c r="AL11" s="12">
        <v>1108.0</v>
      </c>
      <c r="AM11" s="12" t="s">
        <v>148</v>
      </c>
      <c r="AN11" s="45" t="s">
        <v>49</v>
      </c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35" t="s">
        <v>162</v>
      </c>
      <c r="AZ11" s="35" t="s">
        <v>163</v>
      </c>
      <c r="BA11" s="45"/>
      <c r="BB11" s="9"/>
      <c r="BC11" s="9"/>
      <c r="BD11" s="54">
        <v>1131.0</v>
      </c>
      <c r="BE11" s="55" t="s">
        <v>164</v>
      </c>
      <c r="BF11" s="9"/>
      <c r="BG11" s="9"/>
      <c r="BH11" s="9"/>
      <c r="BI11" s="56">
        <v>1134.0</v>
      </c>
      <c r="BJ11" s="57" t="s">
        <v>165</v>
      </c>
      <c r="BK11" s="9"/>
      <c r="BL11" s="9"/>
      <c r="BM11" s="9"/>
      <c r="BN11" s="9"/>
    </row>
    <row r="12" ht="15.0" customHeight="1">
      <c r="A12" s="21" t="s">
        <v>166</v>
      </c>
      <c r="B12" s="22" t="s">
        <v>167</v>
      </c>
      <c r="C12" s="24">
        <v>15.963</v>
      </c>
      <c r="D12" s="4"/>
      <c r="E12" s="35" t="s">
        <v>105</v>
      </c>
      <c r="F12" s="35" t="s">
        <v>148</v>
      </c>
      <c r="G12" s="44"/>
      <c r="H12" s="9"/>
      <c r="I12" s="35" t="s">
        <v>105</v>
      </c>
      <c r="J12" s="35" t="s">
        <v>148</v>
      </c>
      <c r="K12" s="12"/>
      <c r="L12" s="9"/>
      <c r="M12" s="35" t="s">
        <v>168</v>
      </c>
      <c r="N12" s="35" t="s">
        <v>169</v>
      </c>
      <c r="O12" s="45"/>
      <c r="P12" s="62"/>
      <c r="Q12" s="35" t="s">
        <v>170</v>
      </c>
      <c r="R12" s="35" t="s">
        <v>171</v>
      </c>
      <c r="S12" s="45"/>
      <c r="T12" s="35" t="s">
        <v>105</v>
      </c>
      <c r="U12" s="35" t="s">
        <v>148</v>
      </c>
      <c r="V12" s="12"/>
      <c r="W12" s="16" t="s">
        <v>144</v>
      </c>
      <c r="X12" s="9" t="s">
        <v>172</v>
      </c>
      <c r="Y12" s="9"/>
      <c r="Z12" s="9"/>
      <c r="AA12" s="35">
        <v>426.0</v>
      </c>
      <c r="AB12" s="35" t="s">
        <v>173</v>
      </c>
      <c r="AC12" s="9"/>
      <c r="AD12" s="35" t="s">
        <v>105</v>
      </c>
      <c r="AE12" s="35" t="s">
        <v>148</v>
      </c>
      <c r="AF12" s="9"/>
      <c r="AG12" s="9"/>
      <c r="AH12" s="9"/>
      <c r="AI12" s="9"/>
      <c r="AJ12" s="9"/>
      <c r="AK12" s="9"/>
      <c r="AL12" s="12">
        <v>1109.0</v>
      </c>
      <c r="AM12" s="12" t="s">
        <v>159</v>
      </c>
      <c r="AN12" s="45" t="s">
        <v>49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35" t="s">
        <v>174</v>
      </c>
      <c r="AZ12" s="35" t="s">
        <v>175</v>
      </c>
      <c r="BA12" s="45"/>
      <c r="BB12" s="9"/>
      <c r="BC12" s="9"/>
      <c r="BD12" s="54">
        <v>1134.0</v>
      </c>
      <c r="BE12" s="55" t="s">
        <v>165</v>
      </c>
      <c r="BF12" s="9"/>
      <c r="BG12" s="9"/>
      <c r="BH12" s="9"/>
      <c r="BI12" s="56">
        <v>1136.0</v>
      </c>
      <c r="BJ12" s="57" t="s">
        <v>176</v>
      </c>
      <c r="BK12" s="9"/>
      <c r="BL12" s="9"/>
      <c r="BM12" s="9"/>
      <c r="BN12" s="9"/>
    </row>
    <row r="13" ht="15.0" customHeight="1">
      <c r="A13" s="21" t="s">
        <v>177</v>
      </c>
      <c r="B13" s="22" t="s">
        <v>178</v>
      </c>
      <c r="C13" s="24">
        <v>19.16</v>
      </c>
      <c r="D13" s="4"/>
      <c r="E13" s="35" t="s">
        <v>158</v>
      </c>
      <c r="F13" s="35" t="s">
        <v>159</v>
      </c>
      <c r="G13" s="44"/>
      <c r="H13" s="9"/>
      <c r="I13" s="35" t="s">
        <v>158</v>
      </c>
      <c r="J13" s="35" t="s">
        <v>159</v>
      </c>
      <c r="K13" s="12"/>
      <c r="L13" s="9"/>
      <c r="M13" s="35" t="s">
        <v>179</v>
      </c>
      <c r="N13" s="35" t="s">
        <v>95</v>
      </c>
      <c r="O13" s="45"/>
      <c r="P13" s="62"/>
      <c r="Q13" s="35" t="s">
        <v>180</v>
      </c>
      <c r="R13" s="35" t="s">
        <v>110</v>
      </c>
      <c r="S13" s="45"/>
      <c r="T13" s="35" t="s">
        <v>158</v>
      </c>
      <c r="U13" s="35" t="s">
        <v>159</v>
      </c>
      <c r="V13" s="12"/>
      <c r="W13" s="21" t="s">
        <v>154</v>
      </c>
      <c r="X13" s="9" t="s">
        <v>17</v>
      </c>
      <c r="Y13" s="9"/>
      <c r="Z13" s="9"/>
      <c r="AA13" s="35">
        <v>427.0</v>
      </c>
      <c r="AB13" s="35" t="s">
        <v>181</v>
      </c>
      <c r="AC13" s="9"/>
      <c r="AD13" s="35" t="s">
        <v>158</v>
      </c>
      <c r="AE13" s="35" t="s">
        <v>159</v>
      </c>
      <c r="AF13" s="9"/>
      <c r="AG13" s="9"/>
      <c r="AH13" s="9"/>
      <c r="AI13" s="9"/>
      <c r="AJ13" s="9"/>
      <c r="AK13" s="9"/>
      <c r="AL13" s="12">
        <v>1111.0</v>
      </c>
      <c r="AM13" s="12" t="s">
        <v>171</v>
      </c>
      <c r="AN13" s="45" t="s">
        <v>49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35" t="s">
        <v>182</v>
      </c>
      <c r="AZ13" s="35" t="s">
        <v>183</v>
      </c>
      <c r="BA13" s="45"/>
      <c r="BB13" s="9"/>
      <c r="BC13" s="9"/>
      <c r="BD13" s="54">
        <v>1136.0</v>
      </c>
      <c r="BE13" s="55" t="s">
        <v>176</v>
      </c>
      <c r="BF13" s="9"/>
      <c r="BG13" s="9"/>
      <c r="BH13" s="9"/>
      <c r="BI13" s="56">
        <v>1137.0</v>
      </c>
      <c r="BJ13" s="57" t="s">
        <v>184</v>
      </c>
      <c r="BK13" s="9"/>
      <c r="BL13" s="9"/>
      <c r="BM13" s="9"/>
      <c r="BN13" s="9"/>
    </row>
    <row r="14" ht="15.0" customHeight="1">
      <c r="A14" s="21" t="s">
        <v>185</v>
      </c>
      <c r="B14" s="22" t="s">
        <v>186</v>
      </c>
      <c r="C14" s="24">
        <v>12.77</v>
      </c>
      <c r="D14" s="16"/>
      <c r="E14" s="35" t="s">
        <v>170</v>
      </c>
      <c r="F14" s="35" t="s">
        <v>171</v>
      </c>
      <c r="G14" s="44"/>
      <c r="H14" s="9"/>
      <c r="I14" s="35" t="s">
        <v>170</v>
      </c>
      <c r="J14" s="35" t="s">
        <v>171</v>
      </c>
      <c r="K14" s="12"/>
      <c r="L14" s="9"/>
      <c r="M14" s="12"/>
      <c r="N14" s="12"/>
      <c r="O14" s="45"/>
      <c r="P14" s="62"/>
      <c r="Q14" s="35" t="s">
        <v>187</v>
      </c>
      <c r="R14" s="35" t="s">
        <v>188</v>
      </c>
      <c r="S14" s="45"/>
      <c r="T14" s="35" t="s">
        <v>170</v>
      </c>
      <c r="U14" s="35" t="s">
        <v>171</v>
      </c>
      <c r="V14" s="12"/>
      <c r="W14" s="21" t="s">
        <v>166</v>
      </c>
      <c r="X14" s="9" t="s">
        <v>18</v>
      </c>
      <c r="Y14" s="9"/>
      <c r="Z14" s="9"/>
      <c r="AA14" s="35">
        <v>429.0</v>
      </c>
      <c r="AB14" s="35" t="s">
        <v>189</v>
      </c>
      <c r="AC14" s="9"/>
      <c r="AD14" s="35" t="s">
        <v>170</v>
      </c>
      <c r="AE14" s="35" t="s">
        <v>171</v>
      </c>
      <c r="AF14" s="9"/>
      <c r="AG14" s="9"/>
      <c r="AH14" s="9"/>
      <c r="AI14" s="9"/>
      <c r="AJ14" s="9"/>
      <c r="AK14" s="9"/>
      <c r="AL14" s="12">
        <v>1112.0</v>
      </c>
      <c r="AM14" s="12" t="s">
        <v>190</v>
      </c>
      <c r="AN14" s="45" t="s">
        <v>49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35" t="s">
        <v>191</v>
      </c>
      <c r="AZ14" s="35" t="s">
        <v>192</v>
      </c>
      <c r="BA14" s="45"/>
      <c r="BB14" s="9"/>
      <c r="BC14" s="9"/>
      <c r="BD14" s="54">
        <v>1137.0</v>
      </c>
      <c r="BE14" s="55" t="s">
        <v>184</v>
      </c>
      <c r="BF14" s="9"/>
      <c r="BG14" s="9"/>
      <c r="BH14" s="9"/>
      <c r="BI14" s="56">
        <v>1141.0</v>
      </c>
      <c r="BJ14" s="57" t="s">
        <v>193</v>
      </c>
      <c r="BK14" s="9"/>
      <c r="BL14" s="9"/>
      <c r="BM14" s="9"/>
      <c r="BN14" s="9"/>
    </row>
    <row r="15" ht="15.0" customHeight="1">
      <c r="A15" s="21" t="s">
        <v>149</v>
      </c>
      <c r="B15" s="22" t="s">
        <v>194</v>
      </c>
      <c r="C15" s="24">
        <v>12.77</v>
      </c>
      <c r="D15" s="16"/>
      <c r="E15" s="35" t="s">
        <v>180</v>
      </c>
      <c r="F15" s="35" t="s">
        <v>110</v>
      </c>
      <c r="G15" s="44"/>
      <c r="H15" s="9"/>
      <c r="I15" s="35" t="s">
        <v>180</v>
      </c>
      <c r="J15" s="35" t="s">
        <v>110</v>
      </c>
      <c r="K15" s="12"/>
      <c r="L15" s="9"/>
      <c r="M15" s="12"/>
      <c r="N15" s="12"/>
      <c r="O15" s="45"/>
      <c r="P15" s="62"/>
      <c r="Q15" s="35" t="s">
        <v>195</v>
      </c>
      <c r="R15" s="35" t="s">
        <v>196</v>
      </c>
      <c r="S15" s="45"/>
      <c r="T15" s="35" t="s">
        <v>180</v>
      </c>
      <c r="U15" s="35" t="s">
        <v>110</v>
      </c>
      <c r="V15" s="12"/>
      <c r="W15" s="21" t="s">
        <v>185</v>
      </c>
      <c r="X15" s="9" t="s">
        <v>11</v>
      </c>
      <c r="Y15" s="9" t="s">
        <v>27</v>
      </c>
      <c r="Z15" s="9"/>
      <c r="AA15" s="35">
        <v>430.0</v>
      </c>
      <c r="AB15" s="35" t="s">
        <v>197</v>
      </c>
      <c r="AC15" s="9"/>
      <c r="AD15" s="35" t="s">
        <v>180</v>
      </c>
      <c r="AE15" s="35" t="s">
        <v>110</v>
      </c>
      <c r="AF15" s="9"/>
      <c r="AG15" s="9"/>
      <c r="AH15" s="9"/>
      <c r="AI15" s="9"/>
      <c r="AJ15" s="9"/>
      <c r="AK15" s="9"/>
      <c r="AL15" s="12">
        <v>1113.0</v>
      </c>
      <c r="AM15" s="12" t="s">
        <v>110</v>
      </c>
      <c r="AN15" s="45" t="s">
        <v>49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35" t="s">
        <v>198</v>
      </c>
      <c r="AZ15" s="35" t="s">
        <v>199</v>
      </c>
      <c r="BA15" s="45"/>
      <c r="BB15" s="9"/>
      <c r="BC15" s="9"/>
      <c r="BD15" s="54">
        <v>1141.0</v>
      </c>
      <c r="BE15" s="55" t="s">
        <v>193</v>
      </c>
      <c r="BF15" s="9"/>
      <c r="BG15" s="9"/>
      <c r="BH15" s="9"/>
      <c r="BI15" s="56">
        <v>1142.0</v>
      </c>
      <c r="BJ15" s="57" t="s">
        <v>200</v>
      </c>
      <c r="BK15" s="9"/>
      <c r="BL15" s="9"/>
      <c r="BM15" s="9"/>
      <c r="BN15" s="9"/>
    </row>
    <row r="16" ht="15.0" customHeight="1">
      <c r="A16" s="21" t="s">
        <v>139</v>
      </c>
      <c r="B16" s="22" t="s">
        <v>201</v>
      </c>
      <c r="C16" s="24">
        <v>15.837</v>
      </c>
      <c r="D16" s="16"/>
      <c r="E16" s="35" t="s">
        <v>187</v>
      </c>
      <c r="F16" s="35" t="s">
        <v>188</v>
      </c>
      <c r="G16" s="44"/>
      <c r="H16" s="9"/>
      <c r="I16" s="35" t="s">
        <v>195</v>
      </c>
      <c r="J16" s="35" t="s">
        <v>196</v>
      </c>
      <c r="K16" s="12"/>
      <c r="L16" s="9"/>
      <c r="M16" s="12"/>
      <c r="N16" s="12"/>
      <c r="O16" s="45"/>
      <c r="P16" s="62"/>
      <c r="Q16" s="35" t="s">
        <v>202</v>
      </c>
      <c r="R16" s="35" t="s">
        <v>203</v>
      </c>
      <c r="S16" s="45"/>
      <c r="T16" s="35" t="s">
        <v>187</v>
      </c>
      <c r="U16" s="35" t="s">
        <v>188</v>
      </c>
      <c r="V16" s="12"/>
      <c r="W16" s="79" t="s">
        <v>204</v>
      </c>
      <c r="X16" s="9" t="s">
        <v>205</v>
      </c>
      <c r="Y16" s="9" t="s">
        <v>44</v>
      </c>
      <c r="Z16" s="9"/>
      <c r="AA16" s="35">
        <v>434.0</v>
      </c>
      <c r="AB16" s="35" t="s">
        <v>206</v>
      </c>
      <c r="AC16" s="9"/>
      <c r="AD16" s="35" t="s">
        <v>187</v>
      </c>
      <c r="AE16" s="35" t="s">
        <v>188</v>
      </c>
      <c r="AF16" s="9"/>
      <c r="AG16" s="9"/>
      <c r="AH16" s="9"/>
      <c r="AI16" s="9"/>
      <c r="AJ16" s="9"/>
      <c r="AK16" s="9"/>
      <c r="AL16" s="12">
        <v>1115.0</v>
      </c>
      <c r="AM16" s="12" t="s">
        <v>188</v>
      </c>
      <c r="AN16" s="45" t="s">
        <v>49</v>
      </c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35" t="s">
        <v>207</v>
      </c>
      <c r="AZ16" s="35" t="s">
        <v>208</v>
      </c>
      <c r="BA16" s="45"/>
      <c r="BB16" s="9"/>
      <c r="BC16" s="9"/>
      <c r="BD16" s="54">
        <v>1142.0</v>
      </c>
      <c r="BE16" s="55" t="s">
        <v>200</v>
      </c>
      <c r="BF16" s="9"/>
      <c r="BG16" s="9"/>
      <c r="BH16" s="9"/>
      <c r="BI16" s="56">
        <v>1143.0</v>
      </c>
      <c r="BJ16" s="57" t="s">
        <v>209</v>
      </c>
      <c r="BK16" s="9"/>
      <c r="BL16" s="9"/>
      <c r="BM16" s="9"/>
      <c r="BN16" s="9"/>
    </row>
    <row r="17" ht="15.0" customHeight="1">
      <c r="A17" s="21" t="s">
        <v>160</v>
      </c>
      <c r="B17" s="22" t="s">
        <v>210</v>
      </c>
      <c r="C17" s="24">
        <v>16.733</v>
      </c>
      <c r="D17" s="16"/>
      <c r="E17" s="35" t="s">
        <v>195</v>
      </c>
      <c r="F17" s="35" t="s">
        <v>196</v>
      </c>
      <c r="G17" s="44"/>
      <c r="H17" s="9"/>
      <c r="I17" s="35" t="s">
        <v>211</v>
      </c>
      <c r="J17" s="35" t="s">
        <v>212</v>
      </c>
      <c r="K17" s="12"/>
      <c r="L17" s="9"/>
      <c r="M17" s="12"/>
      <c r="N17" s="12"/>
      <c r="O17" s="45"/>
      <c r="P17" s="62"/>
      <c r="Q17" s="35" t="s">
        <v>211</v>
      </c>
      <c r="R17" s="35" t="s">
        <v>212</v>
      </c>
      <c r="S17" s="45"/>
      <c r="T17" s="35" t="s">
        <v>195</v>
      </c>
      <c r="U17" s="35" t="s">
        <v>196</v>
      </c>
      <c r="V17" s="12"/>
      <c r="W17" s="21" t="s">
        <v>177</v>
      </c>
      <c r="X17" s="9" t="s">
        <v>213</v>
      </c>
      <c r="Y17" s="88"/>
      <c r="Z17" s="9"/>
      <c r="AA17" s="35">
        <v>435.0</v>
      </c>
      <c r="AB17" s="35" t="s">
        <v>214</v>
      </c>
      <c r="AC17" s="9"/>
      <c r="AD17" s="35" t="s">
        <v>195</v>
      </c>
      <c r="AE17" s="35" t="s">
        <v>196</v>
      </c>
      <c r="AF17" s="9"/>
      <c r="AG17" s="9"/>
      <c r="AH17" s="9"/>
      <c r="AI17" s="9"/>
      <c r="AJ17" s="9"/>
      <c r="AK17" s="9"/>
      <c r="AL17" s="12">
        <v>1116.0</v>
      </c>
      <c r="AM17" s="12" t="s">
        <v>215</v>
      </c>
      <c r="AN17" s="45" t="s">
        <v>49</v>
      </c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35" t="s">
        <v>216</v>
      </c>
      <c r="AZ17" s="35" t="s">
        <v>217</v>
      </c>
      <c r="BA17" s="45"/>
      <c r="BB17" s="9"/>
      <c r="BC17" s="9"/>
      <c r="BD17" s="54">
        <v>1143.0</v>
      </c>
      <c r="BE17" s="55" t="s">
        <v>218</v>
      </c>
      <c r="BF17" s="9"/>
      <c r="BG17" s="9"/>
      <c r="BH17" s="9"/>
      <c r="BI17" s="56">
        <v>1151.0</v>
      </c>
      <c r="BJ17" s="57" t="s">
        <v>219</v>
      </c>
      <c r="BK17" s="9"/>
      <c r="BL17" s="9"/>
      <c r="BM17" s="9"/>
      <c r="BN17" s="9"/>
    </row>
    <row r="18" ht="15.0" customHeight="1">
      <c r="A18" s="21" t="s">
        <v>220</v>
      </c>
      <c r="B18" s="22" t="s">
        <v>221</v>
      </c>
      <c r="C18" s="24">
        <v>24.61</v>
      </c>
      <c r="D18" s="16"/>
      <c r="E18" s="35" t="s">
        <v>202</v>
      </c>
      <c r="F18" s="35" t="s">
        <v>203</v>
      </c>
      <c r="G18" s="44"/>
      <c r="H18" s="9"/>
      <c r="I18" s="35" t="s">
        <v>222</v>
      </c>
      <c r="J18" s="35" t="s">
        <v>143</v>
      </c>
      <c r="K18" s="12"/>
      <c r="L18" s="9"/>
      <c r="M18" s="12"/>
      <c r="N18" s="12"/>
      <c r="O18" s="45"/>
      <c r="P18" s="62"/>
      <c r="Q18" s="35" t="s">
        <v>222</v>
      </c>
      <c r="R18" s="35" t="s">
        <v>143</v>
      </c>
      <c r="S18" s="45"/>
      <c r="T18" s="35" t="s">
        <v>202</v>
      </c>
      <c r="U18" s="35" t="s">
        <v>203</v>
      </c>
      <c r="V18" s="12"/>
      <c r="W18" s="21" t="s">
        <v>220</v>
      </c>
      <c r="X18" s="9" t="s">
        <v>223</v>
      </c>
      <c r="Y18" s="88"/>
      <c r="Z18" s="9"/>
      <c r="AA18" s="35">
        <v>436.0</v>
      </c>
      <c r="AB18" s="35" t="s">
        <v>224</v>
      </c>
      <c r="AC18" s="9"/>
      <c r="AD18" s="35" t="s">
        <v>202</v>
      </c>
      <c r="AE18" s="35" t="s">
        <v>203</v>
      </c>
      <c r="AF18" s="9"/>
      <c r="AG18" s="9"/>
      <c r="AH18" s="9"/>
      <c r="AI18" s="9"/>
      <c r="AJ18" s="9"/>
      <c r="AK18" s="9"/>
      <c r="AL18" s="12">
        <v>1119.0</v>
      </c>
      <c r="AM18" s="12" t="s">
        <v>212</v>
      </c>
      <c r="AN18" s="45" t="s">
        <v>49</v>
      </c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35" t="s">
        <v>225</v>
      </c>
      <c r="AZ18" s="35" t="s">
        <v>226</v>
      </c>
      <c r="BA18" s="45"/>
      <c r="BB18" s="9"/>
      <c r="BC18" s="9"/>
      <c r="BD18" s="54">
        <v>1151.0</v>
      </c>
      <c r="BE18" s="55" t="s">
        <v>227</v>
      </c>
      <c r="BF18" s="9"/>
      <c r="BG18" s="9"/>
      <c r="BH18" s="9"/>
      <c r="BI18" s="56">
        <v>1152.0</v>
      </c>
      <c r="BJ18" s="57" t="s">
        <v>228</v>
      </c>
      <c r="BK18" s="9"/>
      <c r="BL18" s="9"/>
      <c r="BM18" s="9"/>
      <c r="BN18" s="9"/>
    </row>
    <row r="19" ht="15.0" customHeight="1">
      <c r="A19" s="21" t="s">
        <v>204</v>
      </c>
      <c r="B19" s="22" t="s">
        <v>229</v>
      </c>
      <c r="C19" s="24">
        <v>16.407</v>
      </c>
      <c r="D19" s="16"/>
      <c r="E19" s="35" t="s">
        <v>211</v>
      </c>
      <c r="F19" s="35" t="s">
        <v>212</v>
      </c>
      <c r="G19" s="44"/>
      <c r="H19" s="9"/>
      <c r="I19" s="35" t="s">
        <v>230</v>
      </c>
      <c r="J19" s="35" t="s">
        <v>231</v>
      </c>
      <c r="K19" s="12"/>
      <c r="L19" s="9"/>
      <c r="M19" s="12"/>
      <c r="N19" s="12"/>
      <c r="O19" s="45"/>
      <c r="P19" s="62"/>
      <c r="Q19" s="35" t="s">
        <v>232</v>
      </c>
      <c r="R19" s="35" t="s">
        <v>233</v>
      </c>
      <c r="S19" s="45"/>
      <c r="T19" s="35" t="s">
        <v>211</v>
      </c>
      <c r="U19" s="35" t="s">
        <v>212</v>
      </c>
      <c r="V19" s="12"/>
      <c r="W19" s="79" t="s">
        <v>234</v>
      </c>
      <c r="X19" s="9" t="s">
        <v>235</v>
      </c>
      <c r="Y19" s="88"/>
      <c r="Z19" s="9"/>
      <c r="AA19" s="35">
        <v>438.0</v>
      </c>
      <c r="AB19" s="35" t="s">
        <v>236</v>
      </c>
      <c r="AC19" s="9"/>
      <c r="AD19" s="35" t="s">
        <v>211</v>
      </c>
      <c r="AE19" s="35" t="s">
        <v>212</v>
      </c>
      <c r="AF19" s="9"/>
      <c r="AG19" s="9"/>
      <c r="AH19" s="9"/>
      <c r="AI19" s="9"/>
      <c r="AJ19" s="9"/>
      <c r="AK19" s="9"/>
      <c r="AL19" s="12">
        <v>1125.0</v>
      </c>
      <c r="AM19" s="12" t="s">
        <v>237</v>
      </c>
      <c r="AN19" s="45" t="s">
        <v>49</v>
      </c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35" t="s">
        <v>238</v>
      </c>
      <c r="AZ19" s="35" t="s">
        <v>239</v>
      </c>
      <c r="BA19" s="45"/>
      <c r="BB19" s="9"/>
      <c r="BC19" s="9"/>
      <c r="BD19" s="54">
        <v>1152.0</v>
      </c>
      <c r="BE19" s="55" t="s">
        <v>228</v>
      </c>
      <c r="BF19" s="9"/>
      <c r="BG19" s="9"/>
      <c r="BH19" s="9"/>
      <c r="BI19" s="56">
        <v>1153.0</v>
      </c>
      <c r="BJ19" s="57" t="s">
        <v>240</v>
      </c>
      <c r="BK19" s="9"/>
      <c r="BL19" s="9"/>
      <c r="BM19" s="9"/>
      <c r="BN19" s="9"/>
    </row>
    <row r="20" ht="15.0" customHeight="1">
      <c r="A20" s="21" t="s">
        <v>234</v>
      </c>
      <c r="B20" s="22" t="s">
        <v>241</v>
      </c>
      <c r="C20" s="24">
        <v>27.391</v>
      </c>
      <c r="D20" s="16"/>
      <c r="E20" s="35" t="s">
        <v>222</v>
      </c>
      <c r="F20" s="35" t="s">
        <v>143</v>
      </c>
      <c r="G20" s="44"/>
      <c r="H20" s="9"/>
      <c r="I20" s="35" t="s">
        <v>242</v>
      </c>
      <c r="J20" s="35" t="s">
        <v>243</v>
      </c>
      <c r="K20" s="12"/>
      <c r="L20" s="9"/>
      <c r="M20" s="12"/>
      <c r="N20" s="12"/>
      <c r="O20" s="45"/>
      <c r="P20" s="62"/>
      <c r="Q20" s="35" t="s">
        <v>230</v>
      </c>
      <c r="R20" s="35" t="s">
        <v>231</v>
      </c>
      <c r="S20" s="45"/>
      <c r="T20" s="35" t="s">
        <v>222</v>
      </c>
      <c r="U20" s="35" t="s">
        <v>143</v>
      </c>
      <c r="V20" s="12"/>
      <c r="W20" s="9"/>
      <c r="X20" s="9"/>
      <c r="Y20" s="88"/>
      <c r="Z20" s="9"/>
      <c r="AA20" s="35">
        <v>439.0</v>
      </c>
      <c r="AB20" s="35" t="s">
        <v>244</v>
      </c>
      <c r="AC20" s="9"/>
      <c r="AD20" s="35" t="s">
        <v>222</v>
      </c>
      <c r="AE20" s="35" t="s">
        <v>143</v>
      </c>
      <c r="AF20" s="9"/>
      <c r="AG20" s="9"/>
      <c r="AH20" s="9"/>
      <c r="AI20" s="9"/>
      <c r="AJ20" s="9"/>
      <c r="AK20" s="9"/>
      <c r="AL20" s="12">
        <v>1126.0</v>
      </c>
      <c r="AM20" s="12" t="s">
        <v>231</v>
      </c>
      <c r="AN20" s="45" t="s">
        <v>49</v>
      </c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35" t="s">
        <v>245</v>
      </c>
      <c r="AZ20" s="35" t="s">
        <v>246</v>
      </c>
      <c r="BA20" s="45"/>
      <c r="BB20" s="9"/>
      <c r="BC20" s="9"/>
      <c r="BD20" s="54">
        <v>1153.0</v>
      </c>
      <c r="BE20" s="55" t="s">
        <v>240</v>
      </c>
      <c r="BF20" s="9"/>
      <c r="BG20" s="9"/>
      <c r="BH20" s="9"/>
      <c r="BI20" s="56">
        <v>1154.0</v>
      </c>
      <c r="BJ20" s="57" t="s">
        <v>247</v>
      </c>
      <c r="BK20" s="9"/>
      <c r="BL20" s="9"/>
      <c r="BM20" s="9"/>
      <c r="BN20" s="9"/>
    </row>
    <row r="21" ht="15.0" customHeight="1">
      <c r="A21" s="89"/>
      <c r="B21" s="22" t="s">
        <v>248</v>
      </c>
      <c r="C21" s="24">
        <v>21.913</v>
      </c>
      <c r="D21" s="16"/>
      <c r="E21" s="35" t="s">
        <v>232</v>
      </c>
      <c r="F21" s="35" t="s">
        <v>233</v>
      </c>
      <c r="G21" s="44"/>
      <c r="H21" s="9"/>
      <c r="I21" s="35" t="s">
        <v>249</v>
      </c>
      <c r="J21" s="35" t="s">
        <v>250</v>
      </c>
      <c r="K21" s="12"/>
      <c r="L21" s="9"/>
      <c r="M21" s="12"/>
      <c r="N21" s="12"/>
      <c r="O21" s="45"/>
      <c r="P21" s="62"/>
      <c r="Q21" s="35" t="s">
        <v>242</v>
      </c>
      <c r="R21" s="35" t="s">
        <v>243</v>
      </c>
      <c r="S21" s="45"/>
      <c r="T21" s="35" t="s">
        <v>232</v>
      </c>
      <c r="U21" s="35" t="s">
        <v>233</v>
      </c>
      <c r="V21" s="12"/>
      <c r="W21" s="9"/>
      <c r="X21" s="9"/>
      <c r="Y21" s="88"/>
      <c r="Z21" s="9"/>
      <c r="AA21" s="35">
        <v>440.0</v>
      </c>
      <c r="AB21" s="35" t="s">
        <v>251</v>
      </c>
      <c r="AC21" s="9"/>
      <c r="AD21" s="35" t="s">
        <v>232</v>
      </c>
      <c r="AE21" s="35" t="s">
        <v>233</v>
      </c>
      <c r="AF21" s="9"/>
      <c r="AG21" s="9"/>
      <c r="AH21" s="9"/>
      <c r="AI21" s="9"/>
      <c r="AJ21" s="9"/>
      <c r="AK21" s="9"/>
      <c r="AL21" s="12">
        <v>1129.0</v>
      </c>
      <c r="AM21" s="12" t="s">
        <v>243</v>
      </c>
      <c r="AN21" s="45" t="s">
        <v>49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35" t="s">
        <v>252</v>
      </c>
      <c r="AZ21" s="35" t="s">
        <v>253</v>
      </c>
      <c r="BA21" s="45"/>
      <c r="BB21" s="9"/>
      <c r="BC21" s="9"/>
      <c r="BD21" s="54">
        <v>1154.0</v>
      </c>
      <c r="BE21" s="55" t="s">
        <v>247</v>
      </c>
      <c r="BF21" s="9"/>
      <c r="BG21" s="9"/>
      <c r="BH21" s="9"/>
      <c r="BI21" s="56">
        <v>1155.0</v>
      </c>
      <c r="BJ21" s="57" t="s">
        <v>254</v>
      </c>
      <c r="BK21" s="9"/>
      <c r="BL21" s="9"/>
      <c r="BM21" s="9"/>
      <c r="BN21" s="9"/>
    </row>
    <row r="22" ht="15.0" customHeight="1">
      <c r="A22" s="9"/>
      <c r="B22" s="22" t="s">
        <v>255</v>
      </c>
      <c r="C22" s="24">
        <v>30.903</v>
      </c>
      <c r="D22" s="16"/>
      <c r="E22" s="35" t="s">
        <v>230</v>
      </c>
      <c r="F22" s="35" t="s">
        <v>231</v>
      </c>
      <c r="G22" s="44"/>
      <c r="H22" s="9"/>
      <c r="I22" s="35" t="s">
        <v>256</v>
      </c>
      <c r="J22" s="35" t="s">
        <v>165</v>
      </c>
      <c r="K22" s="12"/>
      <c r="L22" s="9"/>
      <c r="M22" s="12"/>
      <c r="N22" s="12"/>
      <c r="O22" s="45"/>
      <c r="P22" s="62"/>
      <c r="Q22" s="35" t="s">
        <v>257</v>
      </c>
      <c r="R22" s="35" t="s">
        <v>258</v>
      </c>
      <c r="S22" s="45"/>
      <c r="T22" s="35" t="s">
        <v>230</v>
      </c>
      <c r="U22" s="35" t="s">
        <v>231</v>
      </c>
      <c r="V22" s="12"/>
      <c r="W22" s="9"/>
      <c r="X22" s="9"/>
      <c r="Y22" s="9"/>
      <c r="Z22" s="9"/>
      <c r="AA22" s="35">
        <v>441.0</v>
      </c>
      <c r="AB22" s="35" t="s">
        <v>259</v>
      </c>
      <c r="AC22" s="9"/>
      <c r="AD22" s="35" t="s">
        <v>230</v>
      </c>
      <c r="AE22" s="35" t="s">
        <v>231</v>
      </c>
      <c r="AF22" s="9"/>
      <c r="AG22" s="9"/>
      <c r="AH22" s="9"/>
      <c r="AI22" s="9"/>
      <c r="AJ22" s="9"/>
      <c r="AK22" s="9"/>
      <c r="AL22" s="12">
        <v>1130.0</v>
      </c>
      <c r="AM22" s="12" t="s">
        <v>260</v>
      </c>
      <c r="AN22" s="45" t="s">
        <v>49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35" t="s">
        <v>261</v>
      </c>
      <c r="AZ22" s="35" t="s">
        <v>262</v>
      </c>
      <c r="BA22" s="45"/>
      <c r="BB22" s="9"/>
      <c r="BC22" s="9"/>
      <c r="BD22" s="54">
        <v>1155.0</v>
      </c>
      <c r="BE22" s="55" t="s">
        <v>263</v>
      </c>
      <c r="BF22" s="9"/>
      <c r="BG22" s="9"/>
      <c r="BH22" s="9"/>
      <c r="BI22" s="56">
        <v>1156.0</v>
      </c>
      <c r="BJ22" s="57" t="s">
        <v>264</v>
      </c>
      <c r="BK22" s="9"/>
      <c r="BL22" s="9"/>
      <c r="BM22" s="9"/>
      <c r="BN22" s="9"/>
    </row>
    <row r="23" ht="15.0" customHeight="1">
      <c r="A23" s="9"/>
      <c r="B23" s="22" t="s">
        <v>265</v>
      </c>
      <c r="C23" s="24">
        <v>25.05</v>
      </c>
      <c r="D23" s="16"/>
      <c r="E23" s="35" t="s">
        <v>242</v>
      </c>
      <c r="F23" s="35" t="s">
        <v>243</v>
      </c>
      <c r="G23" s="44"/>
      <c r="H23" s="9"/>
      <c r="I23" s="35" t="s">
        <v>266</v>
      </c>
      <c r="J23" s="35" t="s">
        <v>267</v>
      </c>
      <c r="K23" s="12"/>
      <c r="L23" s="9"/>
      <c r="M23" s="12"/>
      <c r="N23" s="12"/>
      <c r="O23" s="45"/>
      <c r="P23" s="62"/>
      <c r="Q23" s="35" t="s">
        <v>268</v>
      </c>
      <c r="R23" s="35" t="s">
        <v>164</v>
      </c>
      <c r="S23" s="45"/>
      <c r="T23" s="35" t="s">
        <v>242</v>
      </c>
      <c r="U23" s="35" t="s">
        <v>243</v>
      </c>
      <c r="V23" s="12"/>
      <c r="W23" s="9"/>
      <c r="X23" s="9"/>
      <c r="Y23" s="9"/>
      <c r="Z23" s="9"/>
      <c r="AA23" s="35">
        <v>442.0</v>
      </c>
      <c r="AB23" s="35" t="s">
        <v>269</v>
      </c>
      <c r="AC23" s="9"/>
      <c r="AD23" s="35" t="s">
        <v>242</v>
      </c>
      <c r="AE23" s="35" t="s">
        <v>243</v>
      </c>
      <c r="AF23" s="9"/>
      <c r="AG23" s="9"/>
      <c r="AH23" s="9"/>
      <c r="AI23" s="9"/>
      <c r="AJ23" s="9"/>
      <c r="AK23" s="9"/>
      <c r="AL23" s="12">
        <v>1131.0</v>
      </c>
      <c r="AM23" s="12" t="s">
        <v>270</v>
      </c>
      <c r="AN23" s="45" t="s">
        <v>49</v>
      </c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35" t="s">
        <v>271</v>
      </c>
      <c r="AZ23" s="35" t="s">
        <v>272</v>
      </c>
      <c r="BA23" s="45"/>
      <c r="BB23" s="9"/>
      <c r="BC23" s="9"/>
      <c r="BD23" s="54">
        <v>1156.0</v>
      </c>
      <c r="BE23" s="55" t="s">
        <v>264</v>
      </c>
      <c r="BF23" s="9"/>
      <c r="BG23" s="9"/>
      <c r="BH23" s="9"/>
      <c r="BI23" s="56">
        <v>3461.0</v>
      </c>
      <c r="BJ23" s="57" t="s">
        <v>273</v>
      </c>
      <c r="BK23" s="9"/>
      <c r="BL23" s="9"/>
      <c r="BM23" s="9"/>
      <c r="BN23" s="9"/>
    </row>
    <row r="24" ht="15.0" customHeight="1">
      <c r="A24" s="9"/>
      <c r="B24" s="22" t="s">
        <v>274</v>
      </c>
      <c r="C24" s="24">
        <v>25.213</v>
      </c>
      <c r="D24" s="16"/>
      <c r="E24" s="35" t="s">
        <v>257</v>
      </c>
      <c r="F24" s="35" t="s">
        <v>258</v>
      </c>
      <c r="G24" s="44"/>
      <c r="H24" s="9"/>
      <c r="I24" s="35" t="s">
        <v>275</v>
      </c>
      <c r="J24" s="35" t="s">
        <v>276</v>
      </c>
      <c r="K24" s="12"/>
      <c r="L24" s="9"/>
      <c r="M24" s="12"/>
      <c r="N24" s="12"/>
      <c r="O24" s="9"/>
      <c r="P24" s="62"/>
      <c r="Q24" s="35" t="s">
        <v>249</v>
      </c>
      <c r="R24" s="35" t="s">
        <v>250</v>
      </c>
      <c r="S24" s="45"/>
      <c r="T24" s="35" t="s">
        <v>257</v>
      </c>
      <c r="U24" s="35" t="s">
        <v>258</v>
      </c>
      <c r="V24" s="12"/>
      <c r="W24" s="9"/>
      <c r="X24" s="9"/>
      <c r="Y24" s="9"/>
      <c r="Z24" s="9"/>
      <c r="AA24" s="35">
        <v>443.0</v>
      </c>
      <c r="AB24" s="35" t="s">
        <v>277</v>
      </c>
      <c r="AC24" s="9"/>
      <c r="AD24" s="35" t="s">
        <v>257</v>
      </c>
      <c r="AE24" s="35" t="s">
        <v>258</v>
      </c>
      <c r="AF24" s="9"/>
      <c r="AG24" s="9"/>
      <c r="AH24" s="9"/>
      <c r="AI24" s="9"/>
      <c r="AJ24" s="9"/>
      <c r="AK24" s="9"/>
      <c r="AL24" s="12">
        <v>1133.0</v>
      </c>
      <c r="AM24" s="12" t="s">
        <v>250</v>
      </c>
      <c r="AN24" s="45" t="s">
        <v>49</v>
      </c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35" t="s">
        <v>278</v>
      </c>
      <c r="AZ24" s="35" t="s">
        <v>279</v>
      </c>
      <c r="BA24" s="9"/>
      <c r="BB24" s="9"/>
      <c r="BC24" s="9"/>
      <c r="BD24" s="54">
        <v>1157.0</v>
      </c>
      <c r="BE24" s="55" t="s">
        <v>280</v>
      </c>
      <c r="BF24" s="9"/>
      <c r="BG24" s="9"/>
      <c r="BH24" s="9"/>
      <c r="BI24" s="56">
        <v>3462.0</v>
      </c>
      <c r="BJ24" s="57" t="s">
        <v>281</v>
      </c>
      <c r="BK24" s="9"/>
      <c r="BL24" s="9"/>
      <c r="BM24" s="9"/>
      <c r="BN24" s="9"/>
    </row>
    <row r="25" ht="15.0" customHeight="1">
      <c r="A25" s="9"/>
      <c r="B25" s="22" t="s">
        <v>282</v>
      </c>
      <c r="C25" s="24">
        <v>37.82</v>
      </c>
      <c r="D25" s="16"/>
      <c r="E25" s="35" t="s">
        <v>268</v>
      </c>
      <c r="F25" s="35" t="s">
        <v>164</v>
      </c>
      <c r="G25" s="44"/>
      <c r="H25" s="9"/>
      <c r="I25" s="35" t="s">
        <v>283</v>
      </c>
      <c r="J25" s="35" t="s">
        <v>284</v>
      </c>
      <c r="K25" s="12"/>
      <c r="L25" s="9"/>
      <c r="M25" s="12"/>
      <c r="N25" s="12"/>
      <c r="O25" s="9"/>
      <c r="P25" s="62"/>
      <c r="Q25" s="35" t="s">
        <v>256</v>
      </c>
      <c r="R25" s="35" t="s">
        <v>165</v>
      </c>
      <c r="S25" s="45"/>
      <c r="T25" s="35" t="s">
        <v>268</v>
      </c>
      <c r="U25" s="35" t="s">
        <v>164</v>
      </c>
      <c r="V25" s="12"/>
      <c r="W25" s="9"/>
      <c r="X25" s="9"/>
      <c r="Y25" s="9"/>
      <c r="Z25" s="9"/>
      <c r="AA25" s="35">
        <v>446.0</v>
      </c>
      <c r="AB25" s="35" t="s">
        <v>285</v>
      </c>
      <c r="AC25" s="9"/>
      <c r="AD25" s="35" t="s">
        <v>268</v>
      </c>
      <c r="AE25" s="35" t="s">
        <v>164</v>
      </c>
      <c r="AF25" s="9"/>
      <c r="AG25" s="9"/>
      <c r="AH25" s="9"/>
      <c r="AI25" s="9"/>
      <c r="AJ25" s="9"/>
      <c r="AK25" s="9"/>
      <c r="AL25" s="12">
        <v>1134.0</v>
      </c>
      <c r="AM25" s="12" t="s">
        <v>165</v>
      </c>
      <c r="AN25" s="45" t="s">
        <v>49</v>
      </c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35" t="s">
        <v>286</v>
      </c>
      <c r="AZ25" s="35" t="s">
        <v>287</v>
      </c>
      <c r="BA25" s="9"/>
      <c r="BB25" s="9"/>
      <c r="BC25" s="9"/>
      <c r="BD25" s="54">
        <v>3461.0</v>
      </c>
      <c r="BE25" s="55" t="s">
        <v>288</v>
      </c>
      <c r="BF25" s="9"/>
      <c r="BG25" s="9"/>
      <c r="BH25" s="9"/>
      <c r="BI25" s="56">
        <v>3469.0</v>
      </c>
      <c r="BJ25" s="57" t="s">
        <v>289</v>
      </c>
      <c r="BK25" s="9"/>
      <c r="BL25" s="9"/>
      <c r="BM25" s="9"/>
      <c r="BN25" s="9"/>
    </row>
    <row r="26" ht="15.0" customHeight="1">
      <c r="A26" s="9"/>
      <c r="B26" s="22" t="s">
        <v>290</v>
      </c>
      <c r="C26" s="24">
        <v>32.589</v>
      </c>
      <c r="D26" s="90"/>
      <c r="E26" s="35" t="s">
        <v>256</v>
      </c>
      <c r="F26" s="35" t="s">
        <v>165</v>
      </c>
      <c r="G26" s="44"/>
      <c r="H26" s="9"/>
      <c r="I26" s="35" t="s">
        <v>291</v>
      </c>
      <c r="J26" s="35" t="s">
        <v>193</v>
      </c>
      <c r="K26" s="12"/>
      <c r="L26" s="9"/>
      <c r="M26" s="12"/>
      <c r="N26" s="12"/>
      <c r="O26" s="9"/>
      <c r="P26" s="62"/>
      <c r="Q26" s="35" t="s">
        <v>266</v>
      </c>
      <c r="R26" s="35" t="s">
        <v>267</v>
      </c>
      <c r="S26" s="45"/>
      <c r="T26" s="35" t="s">
        <v>256</v>
      </c>
      <c r="U26" s="35" t="s">
        <v>165</v>
      </c>
      <c r="V26" s="12"/>
      <c r="W26" s="9"/>
      <c r="X26" s="9"/>
      <c r="Y26" s="9"/>
      <c r="Z26" s="9"/>
      <c r="AA26" s="35">
        <v>447.0</v>
      </c>
      <c r="AB26" s="35" t="s">
        <v>292</v>
      </c>
      <c r="AC26" s="9"/>
      <c r="AD26" s="35" t="s">
        <v>249</v>
      </c>
      <c r="AE26" s="35" t="s">
        <v>250</v>
      </c>
      <c r="AF26" s="9"/>
      <c r="AG26" s="9"/>
      <c r="AH26" s="9"/>
      <c r="AI26" s="9"/>
      <c r="AJ26" s="9"/>
      <c r="AK26" s="9"/>
      <c r="AL26" s="12">
        <v>1135.0</v>
      </c>
      <c r="AM26" s="12" t="s">
        <v>293</v>
      </c>
      <c r="AN26" s="45" t="s">
        <v>49</v>
      </c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35" t="s">
        <v>294</v>
      </c>
      <c r="AZ26" s="35" t="s">
        <v>295</v>
      </c>
      <c r="BA26" s="9"/>
      <c r="BB26" s="9"/>
      <c r="BC26" s="9"/>
      <c r="BD26" s="54">
        <v>3462.0</v>
      </c>
      <c r="BE26" s="55" t="s">
        <v>296</v>
      </c>
      <c r="BF26" s="9"/>
      <c r="BG26" s="9"/>
      <c r="BH26" s="9"/>
      <c r="BI26" s="56">
        <v>3470.0</v>
      </c>
      <c r="BJ26" s="57" t="s">
        <v>297</v>
      </c>
      <c r="BK26" s="9"/>
      <c r="BL26" s="9"/>
      <c r="BM26" s="9"/>
      <c r="BN26" s="9"/>
    </row>
    <row r="27" ht="15.0" customHeight="1">
      <c r="A27" s="9"/>
      <c r="B27" s="22" t="s">
        <v>298</v>
      </c>
      <c r="C27" s="24">
        <v>35.722</v>
      </c>
      <c r="D27" s="90"/>
      <c r="E27" s="35" t="s">
        <v>266</v>
      </c>
      <c r="F27" s="35" t="s">
        <v>267</v>
      </c>
      <c r="G27" s="44"/>
      <c r="H27" s="9"/>
      <c r="I27" s="35" t="s">
        <v>299</v>
      </c>
      <c r="J27" s="35" t="s">
        <v>300</v>
      </c>
      <c r="K27" s="12"/>
      <c r="L27" s="9"/>
      <c r="M27" s="12"/>
      <c r="N27" s="12"/>
      <c r="O27" s="9"/>
      <c r="P27" s="9"/>
      <c r="Q27" s="35" t="s">
        <v>301</v>
      </c>
      <c r="R27" s="35" t="s">
        <v>176</v>
      </c>
      <c r="S27" s="45"/>
      <c r="T27" s="35" t="s">
        <v>266</v>
      </c>
      <c r="U27" s="35" t="s">
        <v>267</v>
      </c>
      <c r="V27" s="12"/>
      <c r="W27" s="9"/>
      <c r="X27" s="9"/>
      <c r="Y27" s="9"/>
      <c r="Z27" s="9"/>
      <c r="AA27" s="35">
        <v>449.0</v>
      </c>
      <c r="AB27" s="35" t="s">
        <v>302</v>
      </c>
      <c r="AC27" s="9"/>
      <c r="AD27" s="35" t="s">
        <v>256</v>
      </c>
      <c r="AE27" s="35" t="s">
        <v>165</v>
      </c>
      <c r="AF27" s="9"/>
      <c r="AG27" s="9"/>
      <c r="AH27" s="9"/>
      <c r="AI27" s="9"/>
      <c r="AJ27" s="9"/>
      <c r="AK27" s="9"/>
      <c r="AL27" s="12">
        <v>1136.0</v>
      </c>
      <c r="AM27" s="12" t="s">
        <v>176</v>
      </c>
      <c r="AN27" s="45" t="s">
        <v>49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35" t="s">
        <v>303</v>
      </c>
      <c r="AZ27" s="35" t="s">
        <v>304</v>
      </c>
      <c r="BA27" s="9"/>
      <c r="BB27" s="9"/>
      <c r="BC27" s="9"/>
      <c r="BD27" s="54">
        <v>3467.0</v>
      </c>
      <c r="BE27" s="55" t="s">
        <v>305</v>
      </c>
      <c r="BF27" s="9"/>
      <c r="BG27" s="9"/>
      <c r="BH27" s="9"/>
      <c r="BI27" s="56">
        <v>3472.0</v>
      </c>
      <c r="BJ27" s="57" t="s">
        <v>306</v>
      </c>
      <c r="BK27" s="9"/>
      <c r="BL27" s="9"/>
      <c r="BM27" s="9"/>
      <c r="BN27" s="9"/>
    </row>
    <row r="28" ht="15.0" customHeight="1">
      <c r="A28" s="9"/>
      <c r="B28" s="22" t="s">
        <v>307</v>
      </c>
      <c r="C28" s="24">
        <v>37.329</v>
      </c>
      <c r="D28" s="90"/>
      <c r="E28" s="35" t="s">
        <v>301</v>
      </c>
      <c r="F28" s="35" t="s">
        <v>176</v>
      </c>
      <c r="G28" s="44"/>
      <c r="H28" s="9"/>
      <c r="I28" s="35" t="s">
        <v>308</v>
      </c>
      <c r="J28" s="35" t="s">
        <v>209</v>
      </c>
      <c r="K28" s="12"/>
      <c r="L28" s="9"/>
      <c r="M28" s="12"/>
      <c r="N28" s="12"/>
      <c r="O28" s="9"/>
      <c r="P28" s="9"/>
      <c r="Q28" s="35" t="s">
        <v>309</v>
      </c>
      <c r="R28" s="35" t="s">
        <v>184</v>
      </c>
      <c r="S28" s="45"/>
      <c r="T28" s="35" t="s">
        <v>301</v>
      </c>
      <c r="U28" s="35" t="s">
        <v>176</v>
      </c>
      <c r="V28" s="12"/>
      <c r="W28" s="9"/>
      <c r="X28" s="9"/>
      <c r="Y28" s="9"/>
      <c r="Z28" s="9"/>
      <c r="AA28" s="35">
        <v>450.0</v>
      </c>
      <c r="AB28" s="35" t="s">
        <v>310</v>
      </c>
      <c r="AC28" s="9"/>
      <c r="AD28" s="35" t="s">
        <v>266</v>
      </c>
      <c r="AE28" s="35" t="s">
        <v>267</v>
      </c>
      <c r="AF28" s="9"/>
      <c r="AG28" s="9"/>
      <c r="AH28" s="9"/>
      <c r="AI28" s="9"/>
      <c r="AJ28" s="9"/>
      <c r="AK28" s="9"/>
      <c r="AL28" s="12">
        <v>1137.0</v>
      </c>
      <c r="AM28" s="12" t="s">
        <v>184</v>
      </c>
      <c r="AN28" s="45" t="s">
        <v>49</v>
      </c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35" t="s">
        <v>311</v>
      </c>
      <c r="AZ28" s="35" t="s">
        <v>312</v>
      </c>
      <c r="BA28" s="9"/>
      <c r="BB28" s="9"/>
      <c r="BC28" s="9"/>
      <c r="BD28" s="54">
        <v>3469.0</v>
      </c>
      <c r="BE28" s="55" t="s">
        <v>313</v>
      </c>
      <c r="BF28" s="9"/>
      <c r="BG28" s="9"/>
      <c r="BH28" s="9"/>
      <c r="BI28" s="56">
        <v>3473.0</v>
      </c>
      <c r="BJ28" s="57" t="s">
        <v>314</v>
      </c>
      <c r="BK28" s="9"/>
      <c r="BL28" s="9"/>
      <c r="BM28" s="9"/>
      <c r="BN28" s="9"/>
    </row>
    <row r="29" ht="15.0" customHeight="1">
      <c r="A29" s="9"/>
      <c r="B29" s="22" t="s">
        <v>315</v>
      </c>
      <c r="C29" s="24">
        <v>55.994</v>
      </c>
      <c r="D29" s="90"/>
      <c r="E29" s="35" t="s">
        <v>309</v>
      </c>
      <c r="F29" s="35" t="s">
        <v>184</v>
      </c>
      <c r="G29" s="44"/>
      <c r="H29" s="9"/>
      <c r="I29" s="35" t="s">
        <v>316</v>
      </c>
      <c r="J29" s="35" t="s">
        <v>317</v>
      </c>
      <c r="K29" s="12"/>
      <c r="L29" s="9"/>
      <c r="M29" s="12"/>
      <c r="N29" s="12"/>
      <c r="O29" s="9"/>
      <c r="P29" s="9"/>
      <c r="Q29" s="35" t="s">
        <v>275</v>
      </c>
      <c r="R29" s="35" t="s">
        <v>276</v>
      </c>
      <c r="S29" s="45"/>
      <c r="T29" s="35" t="s">
        <v>309</v>
      </c>
      <c r="U29" s="35" t="s">
        <v>184</v>
      </c>
      <c r="V29" s="12"/>
      <c r="W29" s="9"/>
      <c r="X29" s="9"/>
      <c r="Y29" s="9"/>
      <c r="Z29" s="9"/>
      <c r="AA29" s="35">
        <v>451.0</v>
      </c>
      <c r="AB29" s="35" t="s">
        <v>318</v>
      </c>
      <c r="AC29" s="9"/>
      <c r="AD29" s="35" t="s">
        <v>301</v>
      </c>
      <c r="AE29" s="35" t="s">
        <v>176</v>
      </c>
      <c r="AF29" s="9"/>
      <c r="AG29" s="9"/>
      <c r="AH29" s="9"/>
      <c r="AI29" s="9"/>
      <c r="AJ29" s="9"/>
      <c r="AK29" s="9"/>
      <c r="AL29" s="12">
        <v>1138.0</v>
      </c>
      <c r="AM29" s="12" t="s">
        <v>276</v>
      </c>
      <c r="AN29" s="45" t="s">
        <v>49</v>
      </c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35" t="s">
        <v>319</v>
      </c>
      <c r="AZ29" s="35" t="s">
        <v>320</v>
      </c>
      <c r="BA29" s="9"/>
      <c r="BB29" s="9"/>
      <c r="BC29" s="9"/>
      <c r="BD29" s="54">
        <v>3470.0</v>
      </c>
      <c r="BE29" s="55" t="s">
        <v>297</v>
      </c>
      <c r="BF29" s="9"/>
      <c r="BG29" s="9"/>
      <c r="BH29" s="9"/>
      <c r="BI29" s="56">
        <v>3474.0</v>
      </c>
      <c r="BJ29" s="57" t="s">
        <v>321</v>
      </c>
      <c r="BK29" s="9"/>
      <c r="BL29" s="9"/>
      <c r="BM29" s="9"/>
      <c r="BN29" s="9"/>
    </row>
    <row r="30" ht="15.0" customHeight="1">
      <c r="A30" s="9"/>
      <c r="B30" s="22" t="s">
        <v>322</v>
      </c>
      <c r="C30" s="24">
        <v>48.075</v>
      </c>
      <c r="D30" s="90"/>
      <c r="E30" s="35" t="s">
        <v>275</v>
      </c>
      <c r="F30" s="35" t="s">
        <v>276</v>
      </c>
      <c r="G30" s="44"/>
      <c r="H30" s="9"/>
      <c r="I30" s="35" t="s">
        <v>323</v>
      </c>
      <c r="J30" s="35" t="s">
        <v>324</v>
      </c>
      <c r="K30" s="12"/>
      <c r="L30" s="9"/>
      <c r="M30" s="12"/>
      <c r="N30" s="12"/>
      <c r="O30" s="9"/>
      <c r="P30" s="9"/>
      <c r="Q30" s="35" t="s">
        <v>325</v>
      </c>
      <c r="R30" s="35" t="s">
        <v>326</v>
      </c>
      <c r="S30" s="45"/>
      <c r="T30" s="35" t="s">
        <v>275</v>
      </c>
      <c r="U30" s="35" t="s">
        <v>276</v>
      </c>
      <c r="V30" s="12"/>
      <c r="W30" s="9"/>
      <c r="X30" s="9"/>
      <c r="Y30" s="9"/>
      <c r="Z30" s="9"/>
      <c r="AA30" s="35">
        <v>452.0</v>
      </c>
      <c r="AB30" s="35" t="s">
        <v>327</v>
      </c>
      <c r="AC30" s="9"/>
      <c r="AD30" s="35" t="s">
        <v>309</v>
      </c>
      <c r="AE30" s="35" t="s">
        <v>184</v>
      </c>
      <c r="AF30" s="9"/>
      <c r="AG30" s="9"/>
      <c r="AH30" s="9"/>
      <c r="AI30" s="9"/>
      <c r="AJ30" s="9"/>
      <c r="AK30" s="9"/>
      <c r="AL30" s="12">
        <v>3001.0</v>
      </c>
      <c r="AM30" s="12" t="s">
        <v>328</v>
      </c>
      <c r="AN30" s="45" t="s">
        <v>49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35" t="s">
        <v>329</v>
      </c>
      <c r="AZ30" s="35" t="s">
        <v>330</v>
      </c>
      <c r="BA30" s="9"/>
      <c r="BB30" s="9"/>
      <c r="BC30" s="9"/>
      <c r="BD30" s="54">
        <v>3471.0</v>
      </c>
      <c r="BE30" s="55" t="s">
        <v>331</v>
      </c>
      <c r="BF30" s="9"/>
      <c r="BG30" s="9"/>
      <c r="BH30" s="9"/>
      <c r="BI30" s="56">
        <v>3475.0</v>
      </c>
      <c r="BJ30" s="57" t="s">
        <v>332</v>
      </c>
      <c r="BK30" s="9"/>
      <c r="BL30" s="9"/>
      <c r="BM30" s="9"/>
      <c r="BN30" s="9"/>
    </row>
    <row r="31" ht="15.0" customHeight="1">
      <c r="A31" s="9"/>
      <c r="B31" s="22" t="s">
        <v>334</v>
      </c>
      <c r="C31" s="24">
        <v>38.46</v>
      </c>
      <c r="D31" s="90"/>
      <c r="E31" s="35" t="s">
        <v>325</v>
      </c>
      <c r="F31" s="35" t="s">
        <v>326</v>
      </c>
      <c r="G31" s="44"/>
      <c r="H31" s="9"/>
      <c r="I31" s="35" t="s">
        <v>335</v>
      </c>
      <c r="J31" s="35" t="s">
        <v>336</v>
      </c>
      <c r="K31" s="12"/>
      <c r="L31" s="9"/>
      <c r="M31" s="12"/>
      <c r="N31" s="12"/>
      <c r="O31" s="9"/>
      <c r="P31" s="9"/>
      <c r="Q31" s="35" t="s">
        <v>283</v>
      </c>
      <c r="R31" s="35" t="s">
        <v>284</v>
      </c>
      <c r="S31" s="45"/>
      <c r="T31" s="35" t="s">
        <v>325</v>
      </c>
      <c r="U31" s="35" t="s">
        <v>326</v>
      </c>
      <c r="V31" s="12"/>
      <c r="W31" s="9"/>
      <c r="X31" s="9"/>
      <c r="Y31" s="9"/>
      <c r="Z31" s="9"/>
      <c r="AA31" s="35">
        <v>453.0</v>
      </c>
      <c r="AB31" s="35" t="s">
        <v>338</v>
      </c>
      <c r="AC31" s="9"/>
      <c r="AD31" s="35" t="s">
        <v>275</v>
      </c>
      <c r="AE31" s="35" t="s">
        <v>276</v>
      </c>
      <c r="AF31" s="9"/>
      <c r="AG31" s="9"/>
      <c r="AH31" s="9"/>
      <c r="AI31" s="9"/>
      <c r="AJ31" s="9"/>
      <c r="AK31" s="9"/>
      <c r="AL31" s="12">
        <v>3002.0</v>
      </c>
      <c r="AM31" s="12" t="s">
        <v>340</v>
      </c>
      <c r="AN31" s="45" t="s">
        <v>49</v>
      </c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35" t="s">
        <v>341</v>
      </c>
      <c r="AZ31" s="35" t="s">
        <v>342</v>
      </c>
      <c r="BA31" s="9"/>
      <c r="BB31" s="9"/>
      <c r="BC31" s="9"/>
      <c r="BD31" s="54">
        <v>3472.0</v>
      </c>
      <c r="BE31" s="55" t="s">
        <v>343</v>
      </c>
      <c r="BF31" s="9"/>
      <c r="BG31" s="9"/>
      <c r="BH31" s="9"/>
      <c r="BI31" s="56">
        <v>1157.0</v>
      </c>
      <c r="BJ31" s="101" t="s">
        <v>344</v>
      </c>
      <c r="BK31" s="9"/>
      <c r="BL31" s="9"/>
      <c r="BM31" s="9"/>
      <c r="BN31" s="9"/>
    </row>
    <row r="32" ht="15.0" customHeight="1">
      <c r="A32" s="9"/>
      <c r="B32" s="22" t="s">
        <v>345</v>
      </c>
      <c r="C32" s="24">
        <v>38.46</v>
      </c>
      <c r="D32" s="90"/>
      <c r="E32" s="35" t="s">
        <v>291</v>
      </c>
      <c r="F32" s="35" t="s">
        <v>193</v>
      </c>
      <c r="G32" s="44"/>
      <c r="H32" s="9"/>
      <c r="I32" s="35" t="s">
        <v>346</v>
      </c>
      <c r="J32" s="35" t="s">
        <v>347</v>
      </c>
      <c r="K32" s="12"/>
      <c r="L32" s="9"/>
      <c r="M32" s="12"/>
      <c r="N32" s="12"/>
      <c r="O32" s="9"/>
      <c r="P32" s="9"/>
      <c r="Q32" s="35" t="s">
        <v>291</v>
      </c>
      <c r="R32" s="35" t="s">
        <v>193</v>
      </c>
      <c r="S32" s="45"/>
      <c r="T32" s="35" t="s">
        <v>291</v>
      </c>
      <c r="U32" s="35" t="s">
        <v>193</v>
      </c>
      <c r="V32" s="12"/>
      <c r="W32" s="9"/>
      <c r="X32" s="9"/>
      <c r="Y32" s="9"/>
      <c r="Z32" s="9"/>
      <c r="AA32" s="35">
        <v>454.0</v>
      </c>
      <c r="AB32" s="35" t="s">
        <v>348</v>
      </c>
      <c r="AC32" s="9"/>
      <c r="AD32" s="35" t="s">
        <v>325</v>
      </c>
      <c r="AE32" s="35" t="s">
        <v>326</v>
      </c>
      <c r="AF32" s="9"/>
      <c r="AG32" s="9"/>
      <c r="AH32" s="9"/>
      <c r="AI32" s="9"/>
      <c r="AJ32" s="9"/>
      <c r="AK32" s="9"/>
      <c r="AL32" s="12">
        <v>3003.0</v>
      </c>
      <c r="AM32" s="12" t="s">
        <v>349</v>
      </c>
      <c r="AN32" s="45" t="s">
        <v>49</v>
      </c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35" t="s">
        <v>350</v>
      </c>
      <c r="AZ32" s="35" t="s">
        <v>351</v>
      </c>
      <c r="BA32" s="9"/>
      <c r="BB32" s="9"/>
      <c r="BC32" s="9"/>
      <c r="BD32" s="54">
        <v>3473.0</v>
      </c>
      <c r="BE32" s="55" t="s">
        <v>352</v>
      </c>
      <c r="BF32" s="9"/>
      <c r="BG32" s="9"/>
      <c r="BH32" s="9"/>
      <c r="BI32" s="56">
        <v>3467.0</v>
      </c>
      <c r="BJ32" s="106" t="s">
        <v>354</v>
      </c>
      <c r="BK32" s="9"/>
      <c r="BL32" s="9"/>
      <c r="BM32" s="9"/>
      <c r="BN32" s="9"/>
    </row>
    <row r="33" ht="15.0" customHeight="1">
      <c r="A33" s="9"/>
      <c r="B33" s="22" t="s">
        <v>355</v>
      </c>
      <c r="C33" s="24">
        <v>57.69</v>
      </c>
      <c r="D33" s="90"/>
      <c r="E33" s="35" t="s">
        <v>299</v>
      </c>
      <c r="F33" s="35" t="s">
        <v>300</v>
      </c>
      <c r="G33" s="44"/>
      <c r="H33" s="9"/>
      <c r="I33" s="35" t="s">
        <v>356</v>
      </c>
      <c r="J33" s="35" t="s">
        <v>357</v>
      </c>
      <c r="K33" s="12"/>
      <c r="L33" s="9"/>
      <c r="M33" s="12"/>
      <c r="N33" s="12"/>
      <c r="O33" s="9"/>
      <c r="P33" s="9"/>
      <c r="Q33" s="35" t="s">
        <v>299</v>
      </c>
      <c r="R33" s="35" t="s">
        <v>300</v>
      </c>
      <c r="S33" s="45"/>
      <c r="T33" s="35" t="s">
        <v>299</v>
      </c>
      <c r="U33" s="35" t="s">
        <v>300</v>
      </c>
      <c r="V33" s="12"/>
      <c r="W33" s="9"/>
      <c r="X33" s="9"/>
      <c r="Y33" s="9"/>
      <c r="Z33" s="9"/>
      <c r="AA33" s="35">
        <v>455.0</v>
      </c>
      <c r="AB33" s="35" t="s">
        <v>358</v>
      </c>
      <c r="AC33" s="9"/>
      <c r="AD33" s="35" t="s">
        <v>283</v>
      </c>
      <c r="AE33" s="35" t="s">
        <v>284</v>
      </c>
      <c r="AF33" s="9"/>
      <c r="AG33" s="9"/>
      <c r="AH33" s="9"/>
      <c r="AI33" s="9"/>
      <c r="AJ33" s="9"/>
      <c r="AK33" s="9"/>
      <c r="AL33" s="12">
        <v>3007.0</v>
      </c>
      <c r="AM33" s="12" t="s">
        <v>357</v>
      </c>
      <c r="AN33" s="45" t="s">
        <v>49</v>
      </c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12"/>
      <c r="AZ33" s="12"/>
      <c r="BA33" s="9"/>
      <c r="BB33" s="9"/>
      <c r="BC33" s="9"/>
      <c r="BD33" s="54">
        <v>3474.0</v>
      </c>
      <c r="BE33" s="55" t="s">
        <v>321</v>
      </c>
      <c r="BF33" s="9"/>
      <c r="BG33" s="9"/>
      <c r="BH33" s="9"/>
      <c r="BI33" s="56">
        <v>3471.0</v>
      </c>
      <c r="BJ33" s="106" t="s">
        <v>360</v>
      </c>
      <c r="BK33" s="9"/>
      <c r="BL33" s="9"/>
      <c r="BM33" s="9"/>
      <c r="BN33" s="9"/>
    </row>
    <row r="34" ht="15.0" customHeight="1">
      <c r="A34" s="9"/>
      <c r="B34" s="22" t="s">
        <v>361</v>
      </c>
      <c r="C34" s="24">
        <v>40.723</v>
      </c>
      <c r="D34" s="90"/>
      <c r="E34" s="35" t="s">
        <v>308</v>
      </c>
      <c r="F34" s="35" t="s">
        <v>209</v>
      </c>
      <c r="G34" s="44"/>
      <c r="H34" s="9"/>
      <c r="I34" s="35" t="s">
        <v>362</v>
      </c>
      <c r="J34" s="35" t="s">
        <v>363</v>
      </c>
      <c r="K34" s="12"/>
      <c r="L34" s="9"/>
      <c r="M34" s="12"/>
      <c r="N34" s="12"/>
      <c r="O34" s="9"/>
      <c r="P34" s="9"/>
      <c r="Q34" s="35" t="s">
        <v>308</v>
      </c>
      <c r="R34" s="35" t="s">
        <v>209</v>
      </c>
      <c r="S34" s="45"/>
      <c r="T34" s="35" t="s">
        <v>308</v>
      </c>
      <c r="U34" s="35" t="s">
        <v>209</v>
      </c>
      <c r="V34" s="12"/>
      <c r="W34" s="9"/>
      <c r="X34" s="9"/>
      <c r="Y34" s="9"/>
      <c r="Z34" s="9"/>
      <c r="AA34" s="9"/>
      <c r="AB34" s="9"/>
      <c r="AC34" s="9"/>
      <c r="AD34" s="35" t="s">
        <v>291</v>
      </c>
      <c r="AE34" s="35" t="s">
        <v>193</v>
      </c>
      <c r="AF34" s="9"/>
      <c r="AG34" s="9"/>
      <c r="AH34" s="9"/>
      <c r="AI34" s="9"/>
      <c r="AJ34" s="9"/>
      <c r="AK34" s="9"/>
      <c r="AL34" s="12">
        <v>3008.0</v>
      </c>
      <c r="AM34" s="12" t="s">
        <v>364</v>
      </c>
      <c r="AN34" s="45" t="s">
        <v>49</v>
      </c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12"/>
      <c r="AZ34" s="12"/>
      <c r="BA34" s="9"/>
      <c r="BB34" s="9"/>
      <c r="BC34" s="9"/>
      <c r="BD34" s="54">
        <v>3475.0</v>
      </c>
      <c r="BE34" s="55" t="s">
        <v>365</v>
      </c>
      <c r="BF34" s="9"/>
      <c r="BG34" s="9"/>
      <c r="BH34" s="9"/>
      <c r="BI34" s="56">
        <v>1101.0</v>
      </c>
      <c r="BJ34" s="106" t="s">
        <v>366</v>
      </c>
      <c r="BK34" s="9"/>
      <c r="BL34" s="9"/>
      <c r="BM34" s="9"/>
      <c r="BN34" s="9"/>
    </row>
    <row r="35" ht="15.0" customHeight="1">
      <c r="A35" s="9"/>
      <c r="B35" s="22" t="s">
        <v>367</v>
      </c>
      <c r="C35" s="24">
        <v>40.723</v>
      </c>
      <c r="D35" s="90"/>
      <c r="E35" s="35" t="s">
        <v>316</v>
      </c>
      <c r="F35" s="35" t="s">
        <v>317</v>
      </c>
      <c r="G35" s="44"/>
      <c r="H35" s="9"/>
      <c r="I35" s="35" t="s">
        <v>368</v>
      </c>
      <c r="J35" s="35" t="s">
        <v>369</v>
      </c>
      <c r="K35" s="12"/>
      <c r="L35" s="9"/>
      <c r="M35" s="12"/>
      <c r="N35" s="12"/>
      <c r="O35" s="9"/>
      <c r="P35" s="9"/>
      <c r="Q35" s="35" t="s">
        <v>316</v>
      </c>
      <c r="R35" s="35" t="s">
        <v>317</v>
      </c>
      <c r="S35" s="45"/>
      <c r="T35" s="35" t="s">
        <v>316</v>
      </c>
      <c r="U35" s="35" t="s">
        <v>317</v>
      </c>
      <c r="V35" s="12"/>
      <c r="W35" s="9"/>
      <c r="X35" s="9"/>
      <c r="Y35" s="9"/>
      <c r="Z35" s="9"/>
      <c r="AA35" s="9"/>
      <c r="AB35" s="9"/>
      <c r="AC35" s="9"/>
      <c r="AD35" s="35" t="s">
        <v>299</v>
      </c>
      <c r="AE35" s="35" t="s">
        <v>300</v>
      </c>
      <c r="AF35" s="9"/>
      <c r="AG35" s="9"/>
      <c r="AH35" s="9"/>
      <c r="AI35" s="9"/>
      <c r="AJ35" s="9"/>
      <c r="AK35" s="9"/>
      <c r="AL35" s="12">
        <v>3009.0</v>
      </c>
      <c r="AM35" s="12" t="s">
        <v>369</v>
      </c>
      <c r="AN35" s="45" t="s">
        <v>49</v>
      </c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12"/>
      <c r="AZ35" s="12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</row>
    <row r="36" ht="15.0" customHeight="1">
      <c r="A36" s="9"/>
      <c r="B36" s="22" t="s">
        <v>370</v>
      </c>
      <c r="C36" s="24">
        <v>61.084</v>
      </c>
      <c r="D36" s="90"/>
      <c r="E36" s="35" t="s">
        <v>371</v>
      </c>
      <c r="F36" s="35" t="s">
        <v>219</v>
      </c>
      <c r="G36" s="44"/>
      <c r="H36" s="9"/>
      <c r="I36" s="35" t="s">
        <v>372</v>
      </c>
      <c r="J36" s="35" t="s">
        <v>373</v>
      </c>
      <c r="K36" s="12"/>
      <c r="L36" s="9"/>
      <c r="M36" s="12"/>
      <c r="N36" s="12"/>
      <c r="O36" s="9"/>
      <c r="P36" s="9"/>
      <c r="Q36" s="35" t="s">
        <v>371</v>
      </c>
      <c r="R36" s="35" t="s">
        <v>219</v>
      </c>
      <c r="S36" s="45"/>
      <c r="T36" s="35" t="s">
        <v>371</v>
      </c>
      <c r="U36" s="35" t="s">
        <v>219</v>
      </c>
      <c r="V36" s="12"/>
      <c r="W36" s="9"/>
      <c r="X36" s="9"/>
      <c r="Y36" s="9"/>
      <c r="Z36" s="9"/>
      <c r="AA36" s="9"/>
      <c r="AB36" s="9"/>
      <c r="AC36" s="9"/>
      <c r="AD36" s="35" t="s">
        <v>308</v>
      </c>
      <c r="AE36" s="35" t="s">
        <v>209</v>
      </c>
      <c r="AF36" s="9"/>
      <c r="AG36" s="9"/>
      <c r="AH36" s="9"/>
      <c r="AI36" s="9"/>
      <c r="AJ36" s="9"/>
      <c r="AK36" s="9"/>
      <c r="AL36" s="12">
        <v>3013.0</v>
      </c>
      <c r="AM36" s="12" t="s">
        <v>373</v>
      </c>
      <c r="AN36" s="45" t="s">
        <v>49</v>
      </c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12"/>
      <c r="AZ36" s="12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</row>
    <row r="37" ht="15.0" customHeight="1">
      <c r="A37" s="9"/>
      <c r="B37" s="22" t="s">
        <v>374</v>
      </c>
      <c r="C37" s="24">
        <v>55.071</v>
      </c>
      <c r="D37" s="90"/>
      <c r="E37" s="35" t="s">
        <v>375</v>
      </c>
      <c r="F37" s="35" t="s">
        <v>228</v>
      </c>
      <c r="G37" s="44"/>
      <c r="H37" s="9"/>
      <c r="I37" s="35" t="s">
        <v>376</v>
      </c>
      <c r="J37" s="35" t="s">
        <v>377</v>
      </c>
      <c r="K37" s="12"/>
      <c r="L37" s="9"/>
      <c r="M37" s="12"/>
      <c r="N37" s="12"/>
      <c r="O37" s="9"/>
      <c r="P37" s="9"/>
      <c r="Q37" s="35" t="s">
        <v>375</v>
      </c>
      <c r="R37" s="35" t="s">
        <v>228</v>
      </c>
      <c r="S37" s="45"/>
      <c r="T37" s="35" t="s">
        <v>375</v>
      </c>
      <c r="U37" s="35" t="s">
        <v>228</v>
      </c>
      <c r="V37" s="12"/>
      <c r="W37" s="9"/>
      <c r="X37" s="9"/>
      <c r="Y37" s="9"/>
      <c r="Z37" s="9"/>
      <c r="AA37" s="9"/>
      <c r="AB37" s="9"/>
      <c r="AC37" s="9"/>
      <c r="AD37" s="35" t="s">
        <v>316</v>
      </c>
      <c r="AE37" s="35" t="s">
        <v>317</v>
      </c>
      <c r="AF37" s="9"/>
      <c r="AG37" s="9"/>
      <c r="AH37" s="9"/>
      <c r="AI37" s="9"/>
      <c r="AJ37" s="9"/>
      <c r="AK37" s="9"/>
      <c r="AL37" s="12">
        <v>3015.0</v>
      </c>
      <c r="AM37" s="12" t="s">
        <v>377</v>
      </c>
      <c r="AN37" s="45" t="s">
        <v>49</v>
      </c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12"/>
      <c r="AZ37" s="12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</row>
    <row r="38" ht="15.0" customHeight="1">
      <c r="A38" s="9"/>
      <c r="B38" s="22" t="s">
        <v>378</v>
      </c>
      <c r="C38" s="24">
        <v>54.327</v>
      </c>
      <c r="D38" s="90"/>
      <c r="E38" s="35" t="s">
        <v>379</v>
      </c>
      <c r="F38" s="35" t="s">
        <v>240</v>
      </c>
      <c r="G38" s="44"/>
      <c r="H38" s="9"/>
      <c r="I38" s="35" t="s">
        <v>380</v>
      </c>
      <c r="J38" s="35" t="s">
        <v>381</v>
      </c>
      <c r="K38" s="12"/>
      <c r="L38" s="9"/>
      <c r="M38" s="12"/>
      <c r="N38" s="12"/>
      <c r="O38" s="9"/>
      <c r="P38" s="9"/>
      <c r="Q38" s="35" t="s">
        <v>379</v>
      </c>
      <c r="R38" s="35" t="s">
        <v>240</v>
      </c>
      <c r="S38" s="45"/>
      <c r="T38" s="35" t="s">
        <v>379</v>
      </c>
      <c r="U38" s="35" t="s">
        <v>240</v>
      </c>
      <c r="V38" s="12"/>
      <c r="W38" s="9"/>
      <c r="X38" s="9"/>
      <c r="Y38" s="9"/>
      <c r="Z38" s="9"/>
      <c r="AA38" s="9"/>
      <c r="AB38" s="9"/>
      <c r="AC38" s="9"/>
      <c r="AD38" s="35" t="s">
        <v>371</v>
      </c>
      <c r="AE38" s="35" t="s">
        <v>219</v>
      </c>
      <c r="AF38" s="9"/>
      <c r="AG38" s="9"/>
      <c r="AH38" s="9"/>
      <c r="AI38" s="9"/>
      <c r="AJ38" s="9"/>
      <c r="AK38" s="9"/>
      <c r="AL38" s="12">
        <v>3017.0</v>
      </c>
      <c r="AM38" s="12" t="s">
        <v>382</v>
      </c>
      <c r="AN38" s="45" t="s">
        <v>49</v>
      </c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12"/>
      <c r="AZ38" s="12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</row>
    <row r="39" ht="15.0" customHeight="1">
      <c r="A39" s="9"/>
      <c r="B39" s="22" t="s">
        <v>383</v>
      </c>
      <c r="C39" s="24">
        <v>81.49</v>
      </c>
      <c r="D39" s="90"/>
      <c r="E39" s="35" t="s">
        <v>384</v>
      </c>
      <c r="F39" s="35" t="s">
        <v>247</v>
      </c>
      <c r="G39" s="44"/>
      <c r="H39" s="9"/>
      <c r="I39" s="35" t="s">
        <v>385</v>
      </c>
      <c r="J39" s="35" t="s">
        <v>382</v>
      </c>
      <c r="K39" s="12"/>
      <c r="L39" s="9"/>
      <c r="M39" s="12"/>
      <c r="N39" s="12"/>
      <c r="O39" s="9"/>
      <c r="P39" s="9"/>
      <c r="Q39" s="35" t="s">
        <v>384</v>
      </c>
      <c r="R39" s="35" t="s">
        <v>247</v>
      </c>
      <c r="S39" s="45"/>
      <c r="T39" s="35" t="s">
        <v>384</v>
      </c>
      <c r="U39" s="35" t="s">
        <v>247</v>
      </c>
      <c r="V39" s="12"/>
      <c r="W39" s="9"/>
      <c r="X39" s="9"/>
      <c r="Y39" s="9"/>
      <c r="Z39" s="9"/>
      <c r="AA39" s="9"/>
      <c r="AB39" s="9"/>
      <c r="AC39" s="9"/>
      <c r="AD39" s="35" t="s">
        <v>375</v>
      </c>
      <c r="AE39" s="35" t="s">
        <v>228</v>
      </c>
      <c r="AF39" s="9"/>
      <c r="AG39" s="9"/>
      <c r="AH39" s="9"/>
      <c r="AI39" s="9"/>
      <c r="AJ39" s="9"/>
      <c r="AK39" s="9"/>
      <c r="AL39" s="12">
        <v>3018.0</v>
      </c>
      <c r="AM39" s="12" t="s">
        <v>386</v>
      </c>
      <c r="AN39" s="45" t="s">
        <v>49</v>
      </c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12"/>
      <c r="AZ39" s="12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r="40" ht="15.0" customHeight="1">
      <c r="A40" s="9"/>
      <c r="B40" s="22" t="s">
        <v>35</v>
      </c>
      <c r="C40" s="24" t="s">
        <v>35</v>
      </c>
      <c r="D40" s="90" t="s">
        <v>387</v>
      </c>
      <c r="E40" s="35" t="s">
        <v>388</v>
      </c>
      <c r="F40" s="35" t="s">
        <v>254</v>
      </c>
      <c r="G40" s="44"/>
      <c r="H40" s="9"/>
      <c r="I40" s="35" t="s">
        <v>389</v>
      </c>
      <c r="J40" s="35" t="s">
        <v>386</v>
      </c>
      <c r="K40" s="12"/>
      <c r="L40" s="9"/>
      <c r="M40" s="12"/>
      <c r="N40" s="12"/>
      <c r="O40" s="9"/>
      <c r="P40" s="9"/>
      <c r="Q40" s="35" t="s">
        <v>388</v>
      </c>
      <c r="R40" s="35" t="s">
        <v>254</v>
      </c>
      <c r="S40" s="45"/>
      <c r="T40" s="35" t="s">
        <v>388</v>
      </c>
      <c r="U40" s="35" t="s">
        <v>254</v>
      </c>
      <c r="V40" s="12"/>
      <c r="W40" s="9"/>
      <c r="X40" s="9"/>
      <c r="Y40" s="9"/>
      <c r="Z40" s="9"/>
      <c r="AA40" s="9"/>
      <c r="AB40" s="9"/>
      <c r="AC40" s="9"/>
      <c r="AD40" s="35" t="s">
        <v>379</v>
      </c>
      <c r="AE40" s="35" t="s">
        <v>240</v>
      </c>
      <c r="AF40" s="9"/>
      <c r="AG40" s="9"/>
      <c r="AH40" s="9"/>
      <c r="AI40" s="9"/>
      <c r="AJ40" s="9"/>
      <c r="AK40" s="9"/>
      <c r="AL40" s="12">
        <v>3019.0</v>
      </c>
      <c r="AM40" s="12" t="s">
        <v>390</v>
      </c>
      <c r="AN40" s="45" t="s">
        <v>49</v>
      </c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12"/>
      <c r="AZ40" s="12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</row>
    <row r="41" ht="15.0" customHeight="1">
      <c r="A41" s="9"/>
      <c r="B41" s="22" t="s">
        <v>391</v>
      </c>
      <c r="C41" s="24">
        <v>13.524</v>
      </c>
      <c r="D41" s="90"/>
      <c r="E41" s="35" t="s">
        <v>392</v>
      </c>
      <c r="F41" s="35" t="s">
        <v>393</v>
      </c>
      <c r="G41" s="44"/>
      <c r="H41" s="9"/>
      <c r="I41" s="35" t="s">
        <v>394</v>
      </c>
      <c r="J41" s="35" t="s">
        <v>390</v>
      </c>
      <c r="K41" s="12"/>
      <c r="L41" s="9"/>
      <c r="M41" s="12"/>
      <c r="N41" s="12"/>
      <c r="O41" s="9"/>
      <c r="P41" s="9"/>
      <c r="Q41" s="35" t="s">
        <v>392</v>
      </c>
      <c r="R41" s="35" t="s">
        <v>393</v>
      </c>
      <c r="S41" s="45"/>
      <c r="T41" s="35" t="s">
        <v>392</v>
      </c>
      <c r="U41" s="35" t="s">
        <v>393</v>
      </c>
      <c r="V41" s="12"/>
      <c r="W41" s="9"/>
      <c r="X41" s="9"/>
      <c r="Y41" s="9"/>
      <c r="Z41" s="9"/>
      <c r="AA41" s="9"/>
      <c r="AB41" s="9"/>
      <c r="AC41" s="9"/>
      <c r="AD41" s="35" t="s">
        <v>384</v>
      </c>
      <c r="AE41" s="35" t="s">
        <v>247</v>
      </c>
      <c r="AF41" s="9"/>
      <c r="AG41" s="9"/>
      <c r="AH41" s="9"/>
      <c r="AI41" s="9"/>
      <c r="AJ41" s="9"/>
      <c r="AK41" s="9"/>
      <c r="AL41" s="12">
        <v>3021.0</v>
      </c>
      <c r="AM41" s="12" t="s">
        <v>395</v>
      </c>
      <c r="AN41" s="45" t="s">
        <v>49</v>
      </c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12"/>
      <c r="AZ41" s="12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</row>
    <row r="42" ht="15.0" customHeight="1">
      <c r="A42" s="9"/>
      <c r="B42" s="22" t="s">
        <v>396</v>
      </c>
      <c r="C42" s="24">
        <v>13.524</v>
      </c>
      <c r="D42" s="90"/>
      <c r="E42" s="35" t="s">
        <v>397</v>
      </c>
      <c r="F42" s="35" t="s">
        <v>344</v>
      </c>
      <c r="G42" s="44"/>
      <c r="H42" s="9"/>
      <c r="I42" s="35" t="s">
        <v>398</v>
      </c>
      <c r="J42" s="35" t="s">
        <v>399</v>
      </c>
      <c r="K42" s="12"/>
      <c r="L42" s="9"/>
      <c r="M42" s="12"/>
      <c r="N42" s="12"/>
      <c r="O42" s="9"/>
      <c r="P42" s="9"/>
      <c r="Q42" s="35" t="s">
        <v>397</v>
      </c>
      <c r="R42" s="35" t="s">
        <v>344</v>
      </c>
      <c r="S42" s="45"/>
      <c r="T42" s="35" t="s">
        <v>397</v>
      </c>
      <c r="U42" s="35" t="s">
        <v>344</v>
      </c>
      <c r="V42" s="12"/>
      <c r="W42" s="9"/>
      <c r="X42" s="9"/>
      <c r="Y42" s="9"/>
      <c r="Z42" s="9"/>
      <c r="AA42" s="9"/>
      <c r="AB42" s="9"/>
      <c r="AC42" s="9"/>
      <c r="AD42" s="35" t="s">
        <v>388</v>
      </c>
      <c r="AE42" s="35" t="s">
        <v>254</v>
      </c>
      <c r="AF42" s="9"/>
      <c r="AG42" s="9"/>
      <c r="AH42" s="9"/>
      <c r="AI42" s="9"/>
      <c r="AJ42" s="9"/>
      <c r="AK42" s="9"/>
      <c r="AL42" s="12">
        <v>3022.0</v>
      </c>
      <c r="AM42" s="12" t="s">
        <v>400</v>
      </c>
      <c r="AN42" s="45" t="s">
        <v>49</v>
      </c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12"/>
      <c r="AZ42" s="12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</row>
    <row r="43" ht="15.0" customHeight="1">
      <c r="A43" s="9"/>
      <c r="B43" s="22" t="s">
        <v>401</v>
      </c>
      <c r="C43" s="24">
        <v>13.524</v>
      </c>
      <c r="D43" s="90"/>
      <c r="E43" s="35" t="s">
        <v>323</v>
      </c>
      <c r="F43" s="35" t="s">
        <v>324</v>
      </c>
      <c r="G43" s="44"/>
      <c r="H43" s="9"/>
      <c r="I43" s="35" t="s">
        <v>402</v>
      </c>
      <c r="J43" s="35" t="s">
        <v>395</v>
      </c>
      <c r="K43" s="12"/>
      <c r="L43" s="9"/>
      <c r="M43" s="12"/>
      <c r="N43" s="12"/>
      <c r="O43" s="9"/>
      <c r="P43" s="9"/>
      <c r="Q43" s="35" t="s">
        <v>323</v>
      </c>
      <c r="R43" s="35" t="s">
        <v>324</v>
      </c>
      <c r="S43" s="45"/>
      <c r="T43" s="35" t="s">
        <v>323</v>
      </c>
      <c r="U43" s="35" t="s">
        <v>324</v>
      </c>
      <c r="V43" s="12"/>
      <c r="W43" s="9"/>
      <c r="X43" s="9"/>
      <c r="Y43" s="9"/>
      <c r="Z43" s="9"/>
      <c r="AA43" s="9"/>
      <c r="AB43" s="9"/>
      <c r="AC43" s="9"/>
      <c r="AD43" s="35" t="s">
        <v>392</v>
      </c>
      <c r="AE43" s="35" t="s">
        <v>393</v>
      </c>
      <c r="AF43" s="9"/>
      <c r="AG43" s="9"/>
      <c r="AH43" s="9"/>
      <c r="AI43" s="9"/>
      <c r="AJ43" s="9"/>
      <c r="AK43" s="9"/>
      <c r="AL43" s="12">
        <v>3024.0</v>
      </c>
      <c r="AM43" s="12" t="s">
        <v>403</v>
      </c>
      <c r="AN43" s="45" t="s">
        <v>49</v>
      </c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12"/>
      <c r="AZ43" s="12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r="44" ht="15.0" customHeight="1">
      <c r="A44" s="9"/>
      <c r="B44" s="22" t="s">
        <v>404</v>
      </c>
      <c r="C44" s="24">
        <v>17.537</v>
      </c>
      <c r="D44" s="90"/>
      <c r="E44" s="35" t="s">
        <v>335</v>
      </c>
      <c r="F44" s="35" t="s">
        <v>336</v>
      </c>
      <c r="G44" s="44"/>
      <c r="H44" s="9"/>
      <c r="I44" s="35" t="s">
        <v>405</v>
      </c>
      <c r="J44" s="35" t="s">
        <v>400</v>
      </c>
      <c r="K44" s="12"/>
      <c r="L44" s="9"/>
      <c r="M44" s="12"/>
      <c r="N44" s="12"/>
      <c r="O44" s="9"/>
      <c r="P44" s="9"/>
      <c r="Q44" s="35" t="s">
        <v>335</v>
      </c>
      <c r="R44" s="35" t="s">
        <v>336</v>
      </c>
      <c r="S44" s="45"/>
      <c r="T44" s="35" t="s">
        <v>335</v>
      </c>
      <c r="U44" s="35" t="s">
        <v>336</v>
      </c>
      <c r="V44" s="12"/>
      <c r="W44" s="9"/>
      <c r="X44" s="9"/>
      <c r="Y44" s="9"/>
      <c r="Z44" s="9"/>
      <c r="AA44" s="9"/>
      <c r="AB44" s="9"/>
      <c r="AC44" s="9"/>
      <c r="AD44" s="35" t="s">
        <v>397</v>
      </c>
      <c r="AE44" s="35" t="s">
        <v>344</v>
      </c>
      <c r="AF44" s="9"/>
      <c r="AG44" s="9"/>
      <c r="AH44" s="9"/>
      <c r="AI44" s="9"/>
      <c r="AJ44" s="9"/>
      <c r="AK44" s="9"/>
      <c r="AL44" s="12">
        <v>3025.0</v>
      </c>
      <c r="AM44" s="12" t="s">
        <v>406</v>
      </c>
      <c r="AN44" s="45" t="s">
        <v>49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12"/>
      <c r="AZ44" s="12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</row>
    <row r="45" ht="15.0" customHeight="1">
      <c r="A45" s="9"/>
      <c r="B45" s="22" t="s">
        <v>407</v>
      </c>
      <c r="C45" s="24">
        <v>17.493</v>
      </c>
      <c r="D45" s="90"/>
      <c r="E45" s="35" t="s">
        <v>346</v>
      </c>
      <c r="F45" s="35" t="s">
        <v>347</v>
      </c>
      <c r="G45" s="44"/>
      <c r="H45" s="9"/>
      <c r="I45" s="35" t="s">
        <v>408</v>
      </c>
      <c r="J45" s="35" t="s">
        <v>409</v>
      </c>
      <c r="K45" s="12"/>
      <c r="L45" s="9"/>
      <c r="M45" s="12"/>
      <c r="N45" s="12"/>
      <c r="O45" s="9"/>
      <c r="P45" s="9"/>
      <c r="Q45" s="35" t="s">
        <v>346</v>
      </c>
      <c r="R45" s="35" t="s">
        <v>347</v>
      </c>
      <c r="S45" s="45"/>
      <c r="T45" s="35" t="s">
        <v>346</v>
      </c>
      <c r="U45" s="35" t="s">
        <v>347</v>
      </c>
      <c r="V45" s="12"/>
      <c r="W45" s="9"/>
      <c r="X45" s="9"/>
      <c r="Y45" s="9"/>
      <c r="Z45" s="9"/>
      <c r="AA45" s="9"/>
      <c r="AB45" s="9"/>
      <c r="AC45" s="9"/>
      <c r="AD45" s="35" t="s">
        <v>323</v>
      </c>
      <c r="AE45" s="35" t="s">
        <v>324</v>
      </c>
      <c r="AF45" s="9"/>
      <c r="AG45" s="9"/>
      <c r="AH45" s="9"/>
      <c r="AI45" s="9"/>
      <c r="AJ45" s="9"/>
      <c r="AK45" s="9"/>
      <c r="AL45" s="12">
        <v>3026.0</v>
      </c>
      <c r="AM45" s="12" t="s">
        <v>410</v>
      </c>
      <c r="AN45" s="45" t="s">
        <v>49</v>
      </c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12"/>
      <c r="AZ45" s="12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</row>
    <row r="46" ht="15.0" customHeight="1">
      <c r="A46" s="9"/>
      <c r="B46" s="22" t="s">
        <v>411</v>
      </c>
      <c r="C46" s="24">
        <v>17.537</v>
      </c>
      <c r="D46" s="90"/>
      <c r="E46" s="35" t="s">
        <v>356</v>
      </c>
      <c r="F46" s="35" t="s">
        <v>357</v>
      </c>
      <c r="G46" s="44"/>
      <c r="H46" s="9"/>
      <c r="I46" s="35" t="s">
        <v>412</v>
      </c>
      <c r="J46" s="35" t="s">
        <v>403</v>
      </c>
      <c r="K46" s="12"/>
      <c r="L46" s="9"/>
      <c r="M46" s="12"/>
      <c r="N46" s="12"/>
      <c r="O46" s="9"/>
      <c r="P46" s="9"/>
      <c r="Q46" s="35" t="s">
        <v>356</v>
      </c>
      <c r="R46" s="35" t="s">
        <v>357</v>
      </c>
      <c r="S46" s="45"/>
      <c r="T46" s="35" t="s">
        <v>356</v>
      </c>
      <c r="U46" s="35" t="s">
        <v>357</v>
      </c>
      <c r="V46" s="12"/>
      <c r="W46" s="9"/>
      <c r="X46" s="9"/>
      <c r="Y46" s="9"/>
      <c r="Z46" s="9"/>
      <c r="AA46" s="9"/>
      <c r="AB46" s="9"/>
      <c r="AC46" s="9"/>
      <c r="AD46" s="35" t="s">
        <v>335</v>
      </c>
      <c r="AE46" s="35" t="s">
        <v>336</v>
      </c>
      <c r="AF46" s="9"/>
      <c r="AG46" s="9"/>
      <c r="AH46" s="9"/>
      <c r="AI46" s="9"/>
      <c r="AJ46" s="9"/>
      <c r="AK46" s="9"/>
      <c r="AL46" s="12">
        <v>3027.0</v>
      </c>
      <c r="AM46" s="12" t="s">
        <v>413</v>
      </c>
      <c r="AN46" s="45" t="s">
        <v>49</v>
      </c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12"/>
      <c r="AZ46" s="12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</row>
    <row r="47" ht="15.0" customHeight="1">
      <c r="A47" s="9"/>
      <c r="B47" s="22" t="s">
        <v>414</v>
      </c>
      <c r="C47" s="24">
        <v>17.493</v>
      </c>
      <c r="D47" s="90"/>
      <c r="E47" s="35" t="s">
        <v>362</v>
      </c>
      <c r="F47" s="35" t="s">
        <v>363</v>
      </c>
      <c r="G47" s="44"/>
      <c r="H47" s="9"/>
      <c r="I47" s="35" t="s">
        <v>415</v>
      </c>
      <c r="J47" s="35" t="s">
        <v>406</v>
      </c>
      <c r="K47" s="12"/>
      <c r="L47" s="9"/>
      <c r="M47" s="12"/>
      <c r="N47" s="12"/>
      <c r="O47" s="9"/>
      <c r="P47" s="9"/>
      <c r="Q47" s="35" t="s">
        <v>362</v>
      </c>
      <c r="R47" s="35" t="s">
        <v>363</v>
      </c>
      <c r="S47" s="45"/>
      <c r="T47" s="35" t="s">
        <v>362</v>
      </c>
      <c r="U47" s="35" t="s">
        <v>363</v>
      </c>
      <c r="V47" s="12"/>
      <c r="W47" s="9"/>
      <c r="X47" s="9"/>
      <c r="Y47" s="9"/>
      <c r="Z47" s="9"/>
      <c r="AA47" s="9"/>
      <c r="AB47" s="9"/>
      <c r="AC47" s="9"/>
      <c r="AD47" s="35" t="s">
        <v>346</v>
      </c>
      <c r="AE47" s="35" t="s">
        <v>347</v>
      </c>
      <c r="AF47" s="9"/>
      <c r="AG47" s="9"/>
      <c r="AH47" s="9"/>
      <c r="AI47" s="9"/>
      <c r="AJ47" s="9"/>
      <c r="AK47" s="9"/>
      <c r="AL47" s="12">
        <v>3028.0</v>
      </c>
      <c r="AM47" s="12" t="s">
        <v>416</v>
      </c>
      <c r="AN47" s="45" t="s">
        <v>49</v>
      </c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12"/>
      <c r="AZ47" s="12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ht="15.0" customHeight="1">
      <c r="A48" s="9"/>
      <c r="B48" s="22" t="s">
        <v>417</v>
      </c>
      <c r="C48" s="24">
        <v>17.493</v>
      </c>
      <c r="D48" s="90"/>
      <c r="E48" s="35" t="s">
        <v>368</v>
      </c>
      <c r="F48" s="35" t="s">
        <v>369</v>
      </c>
      <c r="G48" s="44"/>
      <c r="H48" s="9"/>
      <c r="I48" s="35" t="s">
        <v>418</v>
      </c>
      <c r="J48" s="35" t="s">
        <v>410</v>
      </c>
      <c r="K48" s="12"/>
      <c r="L48" s="9"/>
      <c r="M48" s="12"/>
      <c r="N48" s="12"/>
      <c r="O48" s="9"/>
      <c r="P48" s="9"/>
      <c r="Q48" s="35" t="s">
        <v>368</v>
      </c>
      <c r="R48" s="35" t="s">
        <v>369</v>
      </c>
      <c r="S48" s="45"/>
      <c r="T48" s="35" t="s">
        <v>368</v>
      </c>
      <c r="U48" s="35" t="s">
        <v>369</v>
      </c>
      <c r="V48" s="12"/>
      <c r="W48" s="9"/>
      <c r="X48" s="9"/>
      <c r="Y48" s="9"/>
      <c r="Z48" s="9"/>
      <c r="AA48" s="9"/>
      <c r="AB48" s="9"/>
      <c r="AC48" s="9"/>
      <c r="AD48" s="35" t="s">
        <v>356</v>
      </c>
      <c r="AE48" s="35" t="s">
        <v>357</v>
      </c>
      <c r="AF48" s="9"/>
      <c r="AG48" s="9"/>
      <c r="AH48" s="9"/>
      <c r="AI48" s="9"/>
      <c r="AJ48" s="9"/>
      <c r="AK48" s="9"/>
      <c r="AL48" s="12">
        <v>3041.0</v>
      </c>
      <c r="AM48" s="12" t="s">
        <v>419</v>
      </c>
      <c r="AN48" s="45" t="s">
        <v>49</v>
      </c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12"/>
      <c r="AZ48" s="12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</row>
    <row r="49" ht="15.0" customHeight="1">
      <c r="A49" s="9"/>
      <c r="B49" s="22" t="s">
        <v>420</v>
      </c>
      <c r="C49" s="24">
        <v>17.537</v>
      </c>
      <c r="D49" s="90"/>
      <c r="E49" s="35" t="s">
        <v>372</v>
      </c>
      <c r="F49" s="35" t="s">
        <v>373</v>
      </c>
      <c r="G49" s="44"/>
      <c r="H49" s="9"/>
      <c r="I49" s="35" t="s">
        <v>421</v>
      </c>
      <c r="J49" s="35" t="s">
        <v>413</v>
      </c>
      <c r="K49" s="12"/>
      <c r="L49" s="9"/>
      <c r="M49" s="12"/>
      <c r="N49" s="12"/>
      <c r="O49" s="9"/>
      <c r="P49" s="9"/>
      <c r="Q49" s="35" t="s">
        <v>372</v>
      </c>
      <c r="R49" s="35" t="s">
        <v>373</v>
      </c>
      <c r="S49" s="45"/>
      <c r="T49" s="35" t="s">
        <v>372</v>
      </c>
      <c r="U49" s="35" t="s">
        <v>373</v>
      </c>
      <c r="V49" s="12"/>
      <c r="W49" s="9"/>
      <c r="X49" s="9"/>
      <c r="Y49" s="9"/>
      <c r="Z49" s="9"/>
      <c r="AA49" s="9"/>
      <c r="AB49" s="9"/>
      <c r="AC49" s="9"/>
      <c r="AD49" s="35" t="s">
        <v>362</v>
      </c>
      <c r="AE49" s="35" t="s">
        <v>363</v>
      </c>
      <c r="AF49" s="9"/>
      <c r="AG49" s="9"/>
      <c r="AH49" s="9"/>
      <c r="AI49" s="9"/>
      <c r="AJ49" s="9"/>
      <c r="AK49" s="9"/>
      <c r="AL49" s="12">
        <v>3043.0</v>
      </c>
      <c r="AM49" s="12" t="s">
        <v>422</v>
      </c>
      <c r="AN49" s="45" t="s">
        <v>49</v>
      </c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12"/>
      <c r="AZ49" s="12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</row>
    <row r="50" ht="15.0" customHeight="1">
      <c r="A50" s="9"/>
      <c r="B50" s="22" t="s">
        <v>423</v>
      </c>
      <c r="C50" s="24">
        <v>26.305</v>
      </c>
      <c r="D50" s="90"/>
      <c r="E50" s="35" t="s">
        <v>376</v>
      </c>
      <c r="F50" s="35" t="s">
        <v>377</v>
      </c>
      <c r="G50" s="44"/>
      <c r="H50" s="9"/>
      <c r="I50" s="35" t="s">
        <v>424</v>
      </c>
      <c r="J50" s="35" t="s">
        <v>425</v>
      </c>
      <c r="K50" s="12"/>
      <c r="L50" s="9"/>
      <c r="M50" s="12"/>
      <c r="N50" s="12"/>
      <c r="O50" s="9"/>
      <c r="P50" s="9"/>
      <c r="Q50" s="35" t="s">
        <v>376</v>
      </c>
      <c r="R50" s="35" t="s">
        <v>377</v>
      </c>
      <c r="S50" s="45"/>
      <c r="T50" s="35" t="s">
        <v>376</v>
      </c>
      <c r="U50" s="35" t="s">
        <v>377</v>
      </c>
      <c r="V50" s="12"/>
      <c r="W50" s="9"/>
      <c r="X50" s="9"/>
      <c r="Y50" s="9"/>
      <c r="Z50" s="9"/>
      <c r="AA50" s="9"/>
      <c r="AB50" s="9"/>
      <c r="AC50" s="9"/>
      <c r="AD50" s="35" t="s">
        <v>368</v>
      </c>
      <c r="AE50" s="35" t="s">
        <v>369</v>
      </c>
      <c r="AF50" s="9"/>
      <c r="AG50" s="9"/>
      <c r="AH50" s="9"/>
      <c r="AI50" s="9"/>
      <c r="AJ50" s="9"/>
      <c r="AK50" s="9"/>
      <c r="AL50" s="12">
        <v>3044.0</v>
      </c>
      <c r="AM50" s="12" t="s">
        <v>426</v>
      </c>
      <c r="AN50" s="45" t="s">
        <v>49</v>
      </c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12"/>
      <c r="AZ50" s="12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</row>
    <row r="51" ht="15.0" customHeight="1">
      <c r="A51" s="9"/>
      <c r="B51" s="22" t="s">
        <v>427</v>
      </c>
      <c r="C51" s="24">
        <v>26.305</v>
      </c>
      <c r="D51" s="90"/>
      <c r="E51" s="35" t="s">
        <v>385</v>
      </c>
      <c r="F51" s="35" t="s">
        <v>382</v>
      </c>
      <c r="G51" s="44"/>
      <c r="H51" s="9"/>
      <c r="I51" s="35" t="s">
        <v>428</v>
      </c>
      <c r="J51" s="35" t="s">
        <v>419</v>
      </c>
      <c r="K51" s="12"/>
      <c r="L51" s="9"/>
      <c r="M51" s="12"/>
      <c r="N51" s="12"/>
      <c r="O51" s="9"/>
      <c r="P51" s="9"/>
      <c r="Q51" s="35" t="s">
        <v>380</v>
      </c>
      <c r="R51" s="35" t="s">
        <v>381</v>
      </c>
      <c r="S51" s="45"/>
      <c r="T51" s="35" t="s">
        <v>385</v>
      </c>
      <c r="U51" s="35" t="s">
        <v>382</v>
      </c>
      <c r="V51" s="12"/>
      <c r="W51" s="9"/>
      <c r="X51" s="9"/>
      <c r="Y51" s="9"/>
      <c r="Z51" s="9"/>
      <c r="AA51" s="9"/>
      <c r="AB51" s="9"/>
      <c r="AC51" s="9"/>
      <c r="AD51" s="35" t="s">
        <v>372</v>
      </c>
      <c r="AE51" s="35" t="s">
        <v>373</v>
      </c>
      <c r="AF51" s="9"/>
      <c r="AG51" s="9"/>
      <c r="AH51" s="9"/>
      <c r="AI51" s="9"/>
      <c r="AJ51" s="9"/>
      <c r="AK51" s="9"/>
      <c r="AL51" s="12">
        <v>3045.0</v>
      </c>
      <c r="AM51" s="12" t="s">
        <v>429</v>
      </c>
      <c r="AN51" s="45" t="s">
        <v>49</v>
      </c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12"/>
      <c r="AZ51" s="12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</row>
    <row r="52" ht="15.0" customHeight="1">
      <c r="A52" s="9"/>
      <c r="B52" s="22" t="s">
        <v>430</v>
      </c>
      <c r="C52" s="24">
        <v>26.305</v>
      </c>
      <c r="D52" s="90"/>
      <c r="E52" s="35" t="s">
        <v>389</v>
      </c>
      <c r="F52" s="35" t="s">
        <v>386</v>
      </c>
      <c r="G52" s="44"/>
      <c r="H52" s="9"/>
      <c r="I52" s="35" t="s">
        <v>431</v>
      </c>
      <c r="J52" s="35" t="s">
        <v>429</v>
      </c>
      <c r="K52" s="12"/>
      <c r="L52" s="9"/>
      <c r="M52" s="12"/>
      <c r="N52" s="12"/>
      <c r="O52" s="9"/>
      <c r="P52" s="9"/>
      <c r="Q52" s="35" t="s">
        <v>385</v>
      </c>
      <c r="R52" s="35" t="s">
        <v>382</v>
      </c>
      <c r="S52" s="45"/>
      <c r="T52" s="35" t="s">
        <v>389</v>
      </c>
      <c r="U52" s="35" t="s">
        <v>386</v>
      </c>
      <c r="V52" s="12"/>
      <c r="W52" s="9"/>
      <c r="X52" s="9"/>
      <c r="Y52" s="9"/>
      <c r="Z52" s="9"/>
      <c r="AA52" s="9"/>
      <c r="AB52" s="9"/>
      <c r="AC52" s="9"/>
      <c r="AD52" s="35" t="s">
        <v>376</v>
      </c>
      <c r="AE52" s="35" t="s">
        <v>377</v>
      </c>
      <c r="AF52" s="9"/>
      <c r="AG52" s="9"/>
      <c r="AH52" s="9"/>
      <c r="AI52" s="9"/>
      <c r="AJ52" s="9"/>
      <c r="AK52" s="111"/>
      <c r="AL52" s="12">
        <v>3046.0</v>
      </c>
      <c r="AM52" s="12" t="s">
        <v>432</v>
      </c>
      <c r="AN52" s="45" t="s">
        <v>49</v>
      </c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12"/>
      <c r="AZ52" s="12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</row>
    <row r="53" ht="15.0" customHeight="1">
      <c r="A53" s="9"/>
      <c r="B53" s="22" t="s">
        <v>433</v>
      </c>
      <c r="C53" s="24">
        <v>25.475</v>
      </c>
      <c r="D53" s="90"/>
      <c r="E53" s="35" t="s">
        <v>394</v>
      </c>
      <c r="F53" s="35" t="s">
        <v>390</v>
      </c>
      <c r="G53" s="44"/>
      <c r="H53" s="9"/>
      <c r="I53" s="35" t="s">
        <v>434</v>
      </c>
      <c r="J53" s="35" t="s">
        <v>432</v>
      </c>
      <c r="K53" s="12"/>
      <c r="L53" s="9"/>
      <c r="M53" s="12"/>
      <c r="N53" s="12"/>
      <c r="O53" s="9"/>
      <c r="P53" s="9"/>
      <c r="Q53" s="35" t="s">
        <v>389</v>
      </c>
      <c r="R53" s="35" t="s">
        <v>386</v>
      </c>
      <c r="S53" s="45"/>
      <c r="T53" s="35" t="s">
        <v>394</v>
      </c>
      <c r="U53" s="35" t="s">
        <v>390</v>
      </c>
      <c r="V53" s="12"/>
      <c r="W53" s="9"/>
      <c r="X53" s="9"/>
      <c r="Y53" s="9"/>
      <c r="Z53" s="9"/>
      <c r="AA53" s="9"/>
      <c r="AB53" s="9"/>
      <c r="AC53" s="9"/>
      <c r="AD53" s="35" t="s">
        <v>380</v>
      </c>
      <c r="AE53" s="35" t="s">
        <v>381</v>
      </c>
      <c r="AF53" s="9"/>
      <c r="AG53" s="9"/>
      <c r="AH53" s="9"/>
      <c r="AI53" s="9"/>
      <c r="AJ53" s="9"/>
      <c r="AK53" s="111"/>
      <c r="AL53" s="12">
        <v>3048.0</v>
      </c>
      <c r="AM53" s="12" t="s">
        <v>435</v>
      </c>
      <c r="AN53" s="45" t="s">
        <v>49</v>
      </c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112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</row>
    <row r="54" ht="15.0" customHeight="1">
      <c r="A54" s="9"/>
      <c r="B54" s="22" t="s">
        <v>436</v>
      </c>
      <c r="C54" s="24">
        <v>25.475</v>
      </c>
      <c r="D54" s="90"/>
      <c r="E54" s="35" t="s">
        <v>398</v>
      </c>
      <c r="F54" s="35" t="s">
        <v>399</v>
      </c>
      <c r="G54" s="44"/>
      <c r="H54" s="9"/>
      <c r="I54" s="35" t="s">
        <v>437</v>
      </c>
      <c r="J54" s="35" t="s">
        <v>438</v>
      </c>
      <c r="K54" s="12"/>
      <c r="L54" s="9"/>
      <c r="M54" s="12"/>
      <c r="N54" s="12"/>
      <c r="O54" s="9"/>
      <c r="P54" s="9"/>
      <c r="Q54" s="35" t="s">
        <v>394</v>
      </c>
      <c r="R54" s="35" t="s">
        <v>390</v>
      </c>
      <c r="S54" s="45"/>
      <c r="T54" s="35" t="s">
        <v>398</v>
      </c>
      <c r="U54" s="35" t="s">
        <v>399</v>
      </c>
      <c r="V54" s="12"/>
      <c r="W54" s="9"/>
      <c r="X54" s="9"/>
      <c r="Y54" s="9"/>
      <c r="Z54" s="9"/>
      <c r="AA54" s="9"/>
      <c r="AB54" s="9"/>
      <c r="AC54" s="9"/>
      <c r="AD54" s="35" t="s">
        <v>385</v>
      </c>
      <c r="AE54" s="35" t="s">
        <v>382</v>
      </c>
      <c r="AF54" s="9"/>
      <c r="AG54" s="9"/>
      <c r="AH54" s="9"/>
      <c r="AI54" s="9"/>
      <c r="AJ54" s="9"/>
      <c r="AK54" s="113"/>
      <c r="AL54" s="12">
        <v>3091.0</v>
      </c>
      <c r="AM54" s="12" t="s">
        <v>439</v>
      </c>
      <c r="AN54" s="45" t="s">
        <v>49</v>
      </c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112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</row>
    <row r="55" ht="15.0" customHeight="1">
      <c r="A55" s="9"/>
      <c r="B55" s="22" t="s">
        <v>440</v>
      </c>
      <c r="C55" s="24">
        <v>25.475</v>
      </c>
      <c r="D55" s="90"/>
      <c r="E55" s="35" t="s">
        <v>402</v>
      </c>
      <c r="F55" s="35" t="s">
        <v>395</v>
      </c>
      <c r="G55" s="44"/>
      <c r="H55" s="9"/>
      <c r="I55" s="35" t="s">
        <v>441</v>
      </c>
      <c r="J55" s="35" t="s">
        <v>442</v>
      </c>
      <c r="K55" s="12"/>
      <c r="L55" s="9"/>
      <c r="M55" s="12"/>
      <c r="N55" s="12"/>
      <c r="O55" s="9"/>
      <c r="P55" s="9"/>
      <c r="Q55" s="35" t="s">
        <v>398</v>
      </c>
      <c r="R55" s="35" t="s">
        <v>399</v>
      </c>
      <c r="S55" s="45"/>
      <c r="T55" s="35" t="s">
        <v>402</v>
      </c>
      <c r="U55" s="35" t="s">
        <v>395</v>
      </c>
      <c r="V55" s="12"/>
      <c r="W55" s="9"/>
      <c r="X55" s="9"/>
      <c r="Y55" s="9"/>
      <c r="Z55" s="9"/>
      <c r="AA55" s="9"/>
      <c r="AB55" s="9"/>
      <c r="AC55" s="9"/>
      <c r="AD55" s="35" t="s">
        <v>389</v>
      </c>
      <c r="AE55" s="35" t="s">
        <v>386</v>
      </c>
      <c r="AF55" s="9"/>
      <c r="AG55" s="9"/>
      <c r="AH55" s="9"/>
      <c r="AI55" s="9"/>
      <c r="AJ55" s="9"/>
      <c r="AK55" s="9"/>
      <c r="AL55" s="12">
        <v>3307.0</v>
      </c>
      <c r="AM55" s="12" t="s">
        <v>443</v>
      </c>
      <c r="AN55" s="45" t="s">
        <v>49</v>
      </c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112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</row>
    <row r="56" ht="15.0" customHeight="1">
      <c r="A56" s="9"/>
      <c r="B56" s="22" t="s">
        <v>444</v>
      </c>
      <c r="C56" s="24">
        <v>25.475</v>
      </c>
      <c r="D56" s="90"/>
      <c r="E56" s="35" t="s">
        <v>405</v>
      </c>
      <c r="F56" s="35" t="s">
        <v>400</v>
      </c>
      <c r="G56" s="44"/>
      <c r="H56" s="9"/>
      <c r="I56" s="35" t="s">
        <v>445</v>
      </c>
      <c r="J56" s="35" t="s">
        <v>446</v>
      </c>
      <c r="K56" s="12"/>
      <c r="L56" s="9"/>
      <c r="M56" s="12"/>
      <c r="N56" s="12"/>
      <c r="O56" s="9"/>
      <c r="P56" s="9"/>
      <c r="Q56" s="35" t="s">
        <v>402</v>
      </c>
      <c r="R56" s="35" t="s">
        <v>395</v>
      </c>
      <c r="S56" s="45"/>
      <c r="T56" s="35" t="s">
        <v>405</v>
      </c>
      <c r="U56" s="35" t="s">
        <v>400</v>
      </c>
      <c r="V56" s="12"/>
      <c r="W56" s="9"/>
      <c r="X56" s="9"/>
      <c r="Y56" s="9"/>
      <c r="Z56" s="9"/>
      <c r="AA56" s="9"/>
      <c r="AB56" s="9"/>
      <c r="AC56" s="9"/>
      <c r="AD56" s="35" t="s">
        <v>394</v>
      </c>
      <c r="AE56" s="35" t="s">
        <v>390</v>
      </c>
      <c r="AF56" s="9"/>
      <c r="AG56" s="9"/>
      <c r="AH56" s="9"/>
      <c r="AI56" s="9"/>
      <c r="AJ56" s="9"/>
      <c r="AK56" s="9"/>
      <c r="AL56" s="12">
        <v>3309.0</v>
      </c>
      <c r="AM56" s="12" t="s">
        <v>447</v>
      </c>
      <c r="AN56" s="45" t="s">
        <v>49</v>
      </c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112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</row>
    <row r="57" ht="15.0" customHeight="1">
      <c r="A57" s="9"/>
      <c r="B57" s="22" t="s">
        <v>448</v>
      </c>
      <c r="C57" s="24">
        <v>25.475</v>
      </c>
      <c r="D57" s="90"/>
      <c r="E57" s="35" t="s">
        <v>412</v>
      </c>
      <c r="F57" s="35" t="s">
        <v>403</v>
      </c>
      <c r="G57" s="44"/>
      <c r="H57" s="9"/>
      <c r="I57" s="35" t="s">
        <v>449</v>
      </c>
      <c r="J57" s="35" t="s">
        <v>450</v>
      </c>
      <c r="K57" s="12"/>
      <c r="L57" s="9"/>
      <c r="M57" s="12"/>
      <c r="N57" s="12"/>
      <c r="O57" s="9"/>
      <c r="P57" s="9"/>
      <c r="Q57" s="35" t="s">
        <v>405</v>
      </c>
      <c r="R57" s="35" t="s">
        <v>400</v>
      </c>
      <c r="S57" s="45"/>
      <c r="T57" s="35" t="s">
        <v>412</v>
      </c>
      <c r="U57" s="35" t="s">
        <v>403</v>
      </c>
      <c r="V57" s="12"/>
      <c r="W57" s="9"/>
      <c r="X57" s="9"/>
      <c r="Y57" s="9"/>
      <c r="Z57" s="9"/>
      <c r="AA57" s="9"/>
      <c r="AB57" s="9"/>
      <c r="AC57" s="9"/>
      <c r="AD57" s="35" t="s">
        <v>398</v>
      </c>
      <c r="AE57" s="35" t="s">
        <v>399</v>
      </c>
      <c r="AF57" s="9"/>
      <c r="AG57" s="9"/>
      <c r="AH57" s="9"/>
      <c r="AI57" s="9"/>
      <c r="AJ57" s="9"/>
      <c r="AK57" s="9"/>
      <c r="AL57" s="12">
        <v>3322.0</v>
      </c>
      <c r="AM57" s="12" t="s">
        <v>451</v>
      </c>
      <c r="AN57" s="45" t="s">
        <v>49</v>
      </c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112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</row>
    <row r="58" ht="15.0" customHeight="1">
      <c r="A58" s="9"/>
      <c r="B58" s="22" t="s">
        <v>452</v>
      </c>
      <c r="C58" s="24">
        <v>39.515</v>
      </c>
      <c r="D58" s="90"/>
      <c r="E58" s="35" t="s">
        <v>415</v>
      </c>
      <c r="F58" s="35" t="s">
        <v>406</v>
      </c>
      <c r="G58" s="44"/>
      <c r="H58" s="9"/>
      <c r="I58" s="35" t="s">
        <v>453</v>
      </c>
      <c r="J58" s="35" t="s">
        <v>454</v>
      </c>
      <c r="K58" s="12"/>
      <c r="L58" s="9"/>
      <c r="M58" s="12"/>
      <c r="N58" s="12"/>
      <c r="O58" s="9"/>
      <c r="P58" s="9"/>
      <c r="Q58" s="35" t="s">
        <v>408</v>
      </c>
      <c r="R58" s="35" t="s">
        <v>409</v>
      </c>
      <c r="S58" s="45"/>
      <c r="T58" s="35" t="s">
        <v>415</v>
      </c>
      <c r="U58" s="35" t="s">
        <v>406</v>
      </c>
      <c r="V58" s="12"/>
      <c r="W58" s="9"/>
      <c r="X58" s="9"/>
      <c r="Y58" s="9"/>
      <c r="Z58" s="9"/>
      <c r="AA58" s="9"/>
      <c r="AB58" s="9"/>
      <c r="AC58" s="9"/>
      <c r="AD58" s="35" t="s">
        <v>402</v>
      </c>
      <c r="AE58" s="35" t="s">
        <v>395</v>
      </c>
      <c r="AF58" s="9"/>
      <c r="AG58" s="9"/>
      <c r="AH58" s="9"/>
      <c r="AI58" s="9"/>
      <c r="AJ58" s="9"/>
      <c r="AK58" s="9"/>
      <c r="AL58" s="12">
        <v>3331.0</v>
      </c>
      <c r="AM58" s="12" t="s">
        <v>455</v>
      </c>
      <c r="AN58" s="45" t="s">
        <v>49</v>
      </c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112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</row>
    <row r="59" ht="15.0" customHeight="1">
      <c r="A59" s="9"/>
      <c r="B59" s="22" t="s">
        <v>456</v>
      </c>
      <c r="C59" s="24">
        <v>39.515</v>
      </c>
      <c r="D59" s="90"/>
      <c r="E59" s="35" t="s">
        <v>418</v>
      </c>
      <c r="F59" s="35" t="s">
        <v>410</v>
      </c>
      <c r="G59" s="44"/>
      <c r="H59" s="9"/>
      <c r="I59" s="114" t="s">
        <v>457</v>
      </c>
      <c r="J59" s="114" t="s">
        <v>458</v>
      </c>
      <c r="K59" s="12"/>
      <c r="L59" s="9"/>
      <c r="M59" s="12"/>
      <c r="N59" s="12"/>
      <c r="O59" s="9"/>
      <c r="P59" s="9"/>
      <c r="Q59" s="35" t="s">
        <v>412</v>
      </c>
      <c r="R59" s="35" t="s">
        <v>403</v>
      </c>
      <c r="S59" s="45"/>
      <c r="T59" s="35" t="s">
        <v>418</v>
      </c>
      <c r="U59" s="35" t="s">
        <v>410</v>
      </c>
      <c r="V59" s="12"/>
      <c r="W59" s="9"/>
      <c r="X59" s="9"/>
      <c r="Y59" s="9"/>
      <c r="Z59" s="9"/>
      <c r="AA59" s="9"/>
      <c r="AB59" s="9"/>
      <c r="AC59" s="9"/>
      <c r="AD59" s="35" t="s">
        <v>405</v>
      </c>
      <c r="AE59" s="35" t="s">
        <v>400</v>
      </c>
      <c r="AF59" s="9"/>
      <c r="AG59" s="9"/>
      <c r="AH59" s="9"/>
      <c r="AI59" s="9"/>
      <c r="AJ59" s="9"/>
      <c r="AK59" s="9"/>
      <c r="AL59" s="12">
        <v>3339.0</v>
      </c>
      <c r="AM59" s="12" t="s">
        <v>459</v>
      </c>
      <c r="AN59" s="45" t="s">
        <v>49</v>
      </c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112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</row>
    <row r="60" ht="15.0" customHeight="1">
      <c r="A60" s="9"/>
      <c r="B60" s="22" t="s">
        <v>460</v>
      </c>
      <c r="C60" s="24">
        <v>39.515</v>
      </c>
      <c r="D60" s="90"/>
      <c r="E60" s="35" t="s">
        <v>421</v>
      </c>
      <c r="F60" s="35" t="s">
        <v>413</v>
      </c>
      <c r="G60" s="44"/>
      <c r="H60" s="9"/>
      <c r="I60" s="35" t="s">
        <v>461</v>
      </c>
      <c r="J60" s="35" t="s">
        <v>462</v>
      </c>
      <c r="K60" s="12"/>
      <c r="L60" s="9"/>
      <c r="M60" s="12"/>
      <c r="N60" s="12"/>
      <c r="O60" s="9"/>
      <c r="P60" s="9"/>
      <c r="Q60" s="35" t="s">
        <v>415</v>
      </c>
      <c r="R60" s="35" t="s">
        <v>406</v>
      </c>
      <c r="S60" s="45"/>
      <c r="T60" s="35" t="s">
        <v>421</v>
      </c>
      <c r="U60" s="35" t="s">
        <v>413</v>
      </c>
      <c r="V60" s="12"/>
      <c r="W60" s="9"/>
      <c r="X60" s="9"/>
      <c r="Y60" s="9"/>
      <c r="Z60" s="9"/>
      <c r="AA60" s="9"/>
      <c r="AB60" s="9"/>
      <c r="AC60" s="9"/>
      <c r="AD60" s="35" t="s">
        <v>408</v>
      </c>
      <c r="AE60" s="35" t="s">
        <v>409</v>
      </c>
      <c r="AF60" s="9"/>
      <c r="AG60" s="9"/>
      <c r="AH60" s="9"/>
      <c r="AI60" s="9"/>
      <c r="AJ60" s="9"/>
      <c r="AK60" s="9"/>
      <c r="AL60" s="12">
        <v>3345.0</v>
      </c>
      <c r="AM60" s="12" t="s">
        <v>463</v>
      </c>
      <c r="AN60" s="45" t="s">
        <v>49</v>
      </c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112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</row>
    <row r="61" ht="15.0" customHeight="1">
      <c r="A61" s="9"/>
      <c r="B61" s="22" t="s">
        <v>464</v>
      </c>
      <c r="C61" s="24">
        <v>33.711</v>
      </c>
      <c r="D61" s="90"/>
      <c r="E61" s="35" t="s">
        <v>424</v>
      </c>
      <c r="F61" s="35" t="s">
        <v>425</v>
      </c>
      <c r="G61" s="44"/>
      <c r="H61" s="9"/>
      <c r="I61" s="35" t="s">
        <v>465</v>
      </c>
      <c r="J61" s="35" t="s">
        <v>466</v>
      </c>
      <c r="K61" s="12"/>
      <c r="L61" s="9"/>
      <c r="M61" s="12"/>
      <c r="N61" s="12"/>
      <c r="O61" s="9"/>
      <c r="P61" s="9"/>
      <c r="Q61" s="35" t="s">
        <v>418</v>
      </c>
      <c r="R61" s="35" t="s">
        <v>410</v>
      </c>
      <c r="S61" s="45"/>
      <c r="T61" s="35" t="s">
        <v>424</v>
      </c>
      <c r="U61" s="35" t="s">
        <v>425</v>
      </c>
      <c r="V61" s="12"/>
      <c r="W61" s="9"/>
      <c r="X61" s="9"/>
      <c r="Y61" s="9"/>
      <c r="Z61" s="9"/>
      <c r="AA61" s="9"/>
      <c r="AB61" s="9"/>
      <c r="AC61" s="9"/>
      <c r="AD61" s="35" t="s">
        <v>412</v>
      </c>
      <c r="AE61" s="35" t="s">
        <v>403</v>
      </c>
      <c r="AF61" s="9"/>
      <c r="AG61" s="9"/>
      <c r="AH61" s="9"/>
      <c r="AI61" s="9"/>
      <c r="AJ61" s="9"/>
      <c r="AK61" s="9"/>
      <c r="AL61" s="12">
        <v>3348.0</v>
      </c>
      <c r="AM61" s="12" t="s">
        <v>467</v>
      </c>
      <c r="AN61" s="45" t="s">
        <v>49</v>
      </c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112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</row>
    <row r="62" ht="15.0" customHeight="1">
      <c r="A62" s="9"/>
      <c r="B62" s="22" t="s">
        <v>468</v>
      </c>
      <c r="C62" s="24">
        <v>33.711</v>
      </c>
      <c r="D62" s="24"/>
      <c r="E62" s="35" t="s">
        <v>428</v>
      </c>
      <c r="F62" s="35" t="s">
        <v>419</v>
      </c>
      <c r="G62" s="44"/>
      <c r="H62" s="9"/>
      <c r="I62" s="35" t="s">
        <v>469</v>
      </c>
      <c r="J62" s="35" t="s">
        <v>470</v>
      </c>
      <c r="K62" s="12"/>
      <c r="L62" s="9"/>
      <c r="M62" s="12"/>
      <c r="N62" s="12"/>
      <c r="O62" s="9"/>
      <c r="P62" s="9"/>
      <c r="Q62" s="35" t="s">
        <v>421</v>
      </c>
      <c r="R62" s="35" t="s">
        <v>413</v>
      </c>
      <c r="S62" s="45"/>
      <c r="T62" s="35" t="s">
        <v>428</v>
      </c>
      <c r="U62" s="35" t="s">
        <v>419</v>
      </c>
      <c r="V62" s="12"/>
      <c r="W62" s="9"/>
      <c r="X62" s="9"/>
      <c r="Y62" s="9"/>
      <c r="Z62" s="9"/>
      <c r="AA62" s="9"/>
      <c r="AB62" s="9"/>
      <c r="AC62" s="9"/>
      <c r="AD62" s="35" t="s">
        <v>415</v>
      </c>
      <c r="AE62" s="35" t="s">
        <v>406</v>
      </c>
      <c r="AF62" s="9"/>
      <c r="AG62" s="9"/>
      <c r="AH62" s="9"/>
      <c r="AI62" s="9"/>
      <c r="AJ62" s="9"/>
      <c r="AK62" s="9"/>
      <c r="AL62" s="12">
        <v>3350.0</v>
      </c>
      <c r="AM62" s="12" t="s">
        <v>471</v>
      </c>
      <c r="AN62" s="45" t="s">
        <v>49</v>
      </c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112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</row>
    <row r="63" ht="15.0" customHeight="1">
      <c r="A63" s="9"/>
      <c r="B63" s="22" t="s">
        <v>472</v>
      </c>
      <c r="C63" s="24">
        <v>37.38823529411765</v>
      </c>
      <c r="D63" s="115"/>
      <c r="E63" s="35" t="s">
        <v>473</v>
      </c>
      <c r="F63" s="35" t="s">
        <v>422</v>
      </c>
      <c r="G63" s="44"/>
      <c r="H63" s="9"/>
      <c r="I63" s="35" t="s">
        <v>474</v>
      </c>
      <c r="J63" s="35" t="s">
        <v>475</v>
      </c>
      <c r="K63" s="12"/>
      <c r="L63" s="9"/>
      <c r="M63" s="12"/>
      <c r="N63" s="12"/>
      <c r="O63" s="9"/>
      <c r="P63" s="9"/>
      <c r="Q63" s="35" t="s">
        <v>424</v>
      </c>
      <c r="R63" s="35" t="s">
        <v>425</v>
      </c>
      <c r="S63" s="45"/>
      <c r="T63" s="35" t="s">
        <v>473</v>
      </c>
      <c r="U63" s="35" t="s">
        <v>422</v>
      </c>
      <c r="V63" s="12"/>
      <c r="W63" s="9"/>
      <c r="X63" s="9"/>
      <c r="Y63" s="9"/>
      <c r="Z63" s="9"/>
      <c r="AA63" s="9"/>
      <c r="AB63" s="9"/>
      <c r="AC63" s="9"/>
      <c r="AD63" s="35" t="s">
        <v>418</v>
      </c>
      <c r="AE63" s="35" t="s">
        <v>410</v>
      </c>
      <c r="AF63" s="9"/>
      <c r="AG63" s="9"/>
      <c r="AH63" s="9"/>
      <c r="AI63" s="9"/>
      <c r="AJ63" s="9"/>
      <c r="AK63" s="9"/>
      <c r="AL63" s="12">
        <v>3351.0</v>
      </c>
      <c r="AM63" s="12" t="s">
        <v>476</v>
      </c>
      <c r="AN63" s="45" t="s">
        <v>49</v>
      </c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112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</row>
    <row r="64" ht="15.0" customHeight="1">
      <c r="A64" s="9"/>
      <c r="B64" s="22" t="s">
        <v>477</v>
      </c>
      <c r="C64" s="24">
        <v>37.38823529411765</v>
      </c>
      <c r="D64" s="115"/>
      <c r="E64" s="35" t="s">
        <v>431</v>
      </c>
      <c r="F64" s="35" t="s">
        <v>429</v>
      </c>
      <c r="G64" s="44"/>
      <c r="H64" s="9"/>
      <c r="I64" s="35" t="s">
        <v>478</v>
      </c>
      <c r="J64" s="35" t="s">
        <v>479</v>
      </c>
      <c r="K64" s="12"/>
      <c r="L64" s="9"/>
      <c r="M64" s="12"/>
      <c r="N64" s="12"/>
      <c r="O64" s="9"/>
      <c r="P64" s="9"/>
      <c r="Q64" s="35" t="s">
        <v>428</v>
      </c>
      <c r="R64" s="35" t="s">
        <v>419</v>
      </c>
      <c r="S64" s="45"/>
      <c r="T64" s="35" t="s">
        <v>431</v>
      </c>
      <c r="U64" s="35" t="s">
        <v>429</v>
      </c>
      <c r="V64" s="12"/>
      <c r="W64" s="9"/>
      <c r="X64" s="9"/>
      <c r="Y64" s="9"/>
      <c r="Z64" s="9"/>
      <c r="AA64" s="9"/>
      <c r="AB64" s="9"/>
      <c r="AC64" s="9"/>
      <c r="AD64" s="35" t="s">
        <v>421</v>
      </c>
      <c r="AE64" s="35" t="s">
        <v>413</v>
      </c>
      <c r="AF64" s="9"/>
      <c r="AG64" s="9"/>
      <c r="AH64" s="9"/>
      <c r="AI64" s="9"/>
      <c r="AJ64" s="9"/>
      <c r="AK64" s="9"/>
      <c r="AL64" s="12">
        <v>3354.0</v>
      </c>
      <c r="AM64" s="12" t="s">
        <v>480</v>
      </c>
      <c r="AN64" s="45" t="s">
        <v>49</v>
      </c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112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</row>
    <row r="65" ht="15.0" customHeight="1">
      <c r="A65" s="9"/>
      <c r="B65" s="22" t="s">
        <v>481</v>
      </c>
      <c r="C65" s="24">
        <v>37.38823529411765</v>
      </c>
      <c r="D65" s="90"/>
      <c r="E65" s="35" t="s">
        <v>434</v>
      </c>
      <c r="F65" s="35" t="s">
        <v>432</v>
      </c>
      <c r="G65" s="44"/>
      <c r="H65" s="9"/>
      <c r="I65" s="35" t="s">
        <v>482</v>
      </c>
      <c r="J65" s="35" t="s">
        <v>483</v>
      </c>
      <c r="K65" s="12"/>
      <c r="L65" s="9"/>
      <c r="M65" s="12"/>
      <c r="N65" s="12"/>
      <c r="O65" s="9"/>
      <c r="P65" s="9"/>
      <c r="Q65" s="35" t="s">
        <v>473</v>
      </c>
      <c r="R65" s="35" t="s">
        <v>422</v>
      </c>
      <c r="S65" s="45"/>
      <c r="T65" s="35" t="s">
        <v>434</v>
      </c>
      <c r="U65" s="35" t="s">
        <v>432</v>
      </c>
      <c r="V65" s="12"/>
      <c r="W65" s="9"/>
      <c r="X65" s="9"/>
      <c r="Y65" s="9"/>
      <c r="Z65" s="9"/>
      <c r="AA65" s="9"/>
      <c r="AB65" s="9"/>
      <c r="AC65" s="9"/>
      <c r="AD65" s="35" t="s">
        <v>424</v>
      </c>
      <c r="AE65" s="35" t="s">
        <v>425</v>
      </c>
      <c r="AF65" s="9"/>
      <c r="AG65" s="9"/>
      <c r="AH65" s="9"/>
      <c r="AI65" s="9"/>
      <c r="AJ65" s="9"/>
      <c r="AK65" s="9"/>
      <c r="AL65" s="12">
        <v>3355.0</v>
      </c>
      <c r="AM65" s="12" t="s">
        <v>484</v>
      </c>
      <c r="AN65" s="45" t="s">
        <v>49</v>
      </c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112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</row>
    <row r="66" ht="15.0" customHeight="1">
      <c r="A66" s="9"/>
      <c r="B66" s="22" t="s">
        <v>485</v>
      </c>
      <c r="C66" s="24">
        <v>37.38823529411765</v>
      </c>
      <c r="D66" s="90"/>
      <c r="E66" s="35" t="s">
        <v>486</v>
      </c>
      <c r="F66" s="35" t="s">
        <v>487</v>
      </c>
      <c r="G66" s="44"/>
      <c r="H66" s="9"/>
      <c r="I66" s="35" t="s">
        <v>488</v>
      </c>
      <c r="J66" s="35" t="s">
        <v>489</v>
      </c>
      <c r="K66" s="12"/>
      <c r="L66" s="9"/>
      <c r="M66" s="12"/>
      <c r="N66" s="12"/>
      <c r="O66" s="9"/>
      <c r="P66" s="9"/>
      <c r="Q66" s="35" t="s">
        <v>431</v>
      </c>
      <c r="R66" s="35" t="s">
        <v>429</v>
      </c>
      <c r="S66" s="45"/>
      <c r="T66" s="35" t="s">
        <v>486</v>
      </c>
      <c r="U66" s="35" t="s">
        <v>487</v>
      </c>
      <c r="V66" s="12"/>
      <c r="W66" s="9"/>
      <c r="X66" s="9"/>
      <c r="Y66" s="9"/>
      <c r="Z66" s="9"/>
      <c r="AA66" s="9"/>
      <c r="AB66" s="9"/>
      <c r="AC66" s="9"/>
      <c r="AD66" s="35" t="s">
        <v>428</v>
      </c>
      <c r="AE66" s="35" t="s">
        <v>419</v>
      </c>
      <c r="AF66" s="9"/>
      <c r="AG66" s="9"/>
      <c r="AH66" s="9"/>
      <c r="AI66" s="9"/>
      <c r="AJ66" s="9"/>
      <c r="AK66" s="9"/>
      <c r="AL66" s="12">
        <v>3356.0</v>
      </c>
      <c r="AM66" s="12" t="s">
        <v>490</v>
      </c>
      <c r="AN66" s="45" t="s">
        <v>49</v>
      </c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112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</row>
    <row r="67" ht="15.0" customHeight="1">
      <c r="A67" s="9"/>
      <c r="B67" s="22" t="s">
        <v>491</v>
      </c>
      <c r="C67" s="24">
        <v>38.55661764705883</v>
      </c>
      <c r="D67" s="115"/>
      <c r="E67" s="35" t="s">
        <v>492</v>
      </c>
      <c r="F67" s="35" t="s">
        <v>493</v>
      </c>
      <c r="G67" s="44"/>
      <c r="H67" s="9"/>
      <c r="I67" s="35" t="s">
        <v>494</v>
      </c>
      <c r="J67" s="35" t="s">
        <v>495</v>
      </c>
      <c r="K67" s="12"/>
      <c r="L67" s="9"/>
      <c r="M67" s="12"/>
      <c r="N67" s="12"/>
      <c r="O67" s="9"/>
      <c r="P67" s="9"/>
      <c r="Q67" s="35" t="s">
        <v>434</v>
      </c>
      <c r="R67" s="35" t="s">
        <v>432</v>
      </c>
      <c r="S67" s="9"/>
      <c r="T67" s="35" t="s">
        <v>492</v>
      </c>
      <c r="U67" s="35" t="s">
        <v>493</v>
      </c>
      <c r="V67" s="12"/>
      <c r="W67" s="9"/>
      <c r="X67" s="9"/>
      <c r="Y67" s="9"/>
      <c r="Z67" s="9"/>
      <c r="AA67" s="9"/>
      <c r="AB67" s="9"/>
      <c r="AC67" s="9"/>
      <c r="AD67" s="35" t="s">
        <v>473</v>
      </c>
      <c r="AE67" s="35" t="s">
        <v>422</v>
      </c>
      <c r="AF67" s="9"/>
      <c r="AG67" s="9"/>
      <c r="AH67" s="9"/>
      <c r="AI67" s="9"/>
      <c r="AJ67" s="9"/>
      <c r="AK67" s="9"/>
      <c r="AL67" s="12">
        <v>3358.0</v>
      </c>
      <c r="AM67" s="12" t="s">
        <v>496</v>
      </c>
      <c r="AN67" s="45" t="s">
        <v>49</v>
      </c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112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</row>
    <row r="68" ht="15.0" customHeight="1">
      <c r="A68" s="9"/>
      <c r="B68" s="22" t="s">
        <v>497</v>
      </c>
      <c r="C68" s="24">
        <v>38.55661764705883</v>
      </c>
      <c r="D68" s="90"/>
      <c r="E68" s="35" t="s">
        <v>498</v>
      </c>
      <c r="F68" s="35" t="s">
        <v>499</v>
      </c>
      <c r="G68" s="44"/>
      <c r="H68" s="9"/>
      <c r="I68" s="35" t="s">
        <v>500</v>
      </c>
      <c r="J68" s="35" t="s">
        <v>501</v>
      </c>
      <c r="K68" s="12"/>
      <c r="L68" s="9"/>
      <c r="M68" s="12"/>
      <c r="N68" s="12"/>
      <c r="O68" s="9"/>
      <c r="P68" s="9"/>
      <c r="Q68" s="35" t="s">
        <v>486</v>
      </c>
      <c r="R68" s="35" t="s">
        <v>487</v>
      </c>
      <c r="S68" s="45"/>
      <c r="T68" s="35" t="s">
        <v>498</v>
      </c>
      <c r="U68" s="35" t="s">
        <v>499</v>
      </c>
      <c r="V68" s="12"/>
      <c r="W68" s="9"/>
      <c r="X68" s="9"/>
      <c r="Y68" s="9"/>
      <c r="Z68" s="9"/>
      <c r="AA68" s="9"/>
      <c r="AB68" s="9"/>
      <c r="AC68" s="9"/>
      <c r="AD68" s="35" t="s">
        <v>431</v>
      </c>
      <c r="AE68" s="35" t="s">
        <v>429</v>
      </c>
      <c r="AF68" s="9"/>
      <c r="AG68" s="9"/>
      <c r="AH68" s="9"/>
      <c r="AI68" s="9"/>
      <c r="AJ68" s="9"/>
      <c r="AK68" s="9"/>
      <c r="AL68" s="12">
        <v>3361.0</v>
      </c>
      <c r="AM68" s="12" t="s">
        <v>442</v>
      </c>
      <c r="AN68" s="45" t="s">
        <v>49</v>
      </c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112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</row>
    <row r="69" ht="15.0" customHeight="1">
      <c r="A69" s="9"/>
      <c r="B69" s="22" t="s">
        <v>502</v>
      </c>
      <c r="C69" s="24">
        <v>38.55661764705883</v>
      </c>
      <c r="D69" s="90"/>
      <c r="E69" s="35" t="s">
        <v>503</v>
      </c>
      <c r="F69" s="35" t="s">
        <v>107</v>
      </c>
      <c r="G69" s="44"/>
      <c r="H69" s="9"/>
      <c r="I69" s="35" t="s">
        <v>504</v>
      </c>
      <c r="J69" s="35" t="s">
        <v>505</v>
      </c>
      <c r="K69" s="12"/>
      <c r="L69" s="9"/>
      <c r="M69" s="12"/>
      <c r="N69" s="12"/>
      <c r="O69" s="9"/>
      <c r="P69" s="9"/>
      <c r="Q69" s="35" t="s">
        <v>492</v>
      </c>
      <c r="R69" s="35" t="s">
        <v>493</v>
      </c>
      <c r="S69" s="9"/>
      <c r="T69" s="35" t="s">
        <v>503</v>
      </c>
      <c r="U69" s="35" t="s">
        <v>107</v>
      </c>
      <c r="V69" s="12"/>
      <c r="W69" s="9"/>
      <c r="X69" s="9"/>
      <c r="Y69" s="9"/>
      <c r="Z69" s="9"/>
      <c r="AA69" s="9"/>
      <c r="AB69" s="9"/>
      <c r="AC69" s="9"/>
      <c r="AD69" s="35" t="s">
        <v>434</v>
      </c>
      <c r="AE69" s="35" t="s">
        <v>432</v>
      </c>
      <c r="AF69" s="9"/>
      <c r="AG69" s="9"/>
      <c r="AH69" s="9"/>
      <c r="AI69" s="9"/>
      <c r="AJ69" s="9"/>
      <c r="AK69" s="9"/>
      <c r="AL69" s="12">
        <v>3362.0</v>
      </c>
      <c r="AM69" s="12" t="s">
        <v>446</v>
      </c>
      <c r="AN69" s="45" t="s">
        <v>49</v>
      </c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112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</row>
    <row r="70" ht="15.0" customHeight="1">
      <c r="A70" s="9"/>
      <c r="B70" s="22" t="s">
        <v>506</v>
      </c>
      <c r="C70" s="24">
        <v>38.55661764705883</v>
      </c>
      <c r="D70" s="90"/>
      <c r="E70" s="35" t="s">
        <v>507</v>
      </c>
      <c r="F70" s="35" t="s">
        <v>508</v>
      </c>
      <c r="G70" s="44"/>
      <c r="H70" s="9"/>
      <c r="I70" s="35" t="s">
        <v>509</v>
      </c>
      <c r="J70" s="35" t="s">
        <v>510</v>
      </c>
      <c r="K70" s="12"/>
      <c r="L70" s="9"/>
      <c r="M70" s="12"/>
      <c r="N70" s="12"/>
      <c r="O70" s="9"/>
      <c r="P70" s="9"/>
      <c r="Q70" s="35" t="s">
        <v>498</v>
      </c>
      <c r="R70" s="35" t="s">
        <v>499</v>
      </c>
      <c r="S70" s="45"/>
      <c r="T70" s="35" t="s">
        <v>507</v>
      </c>
      <c r="U70" s="35" t="s">
        <v>508</v>
      </c>
      <c r="V70" s="12"/>
      <c r="W70" s="9"/>
      <c r="X70" s="9"/>
      <c r="Y70" s="9"/>
      <c r="Z70" s="9"/>
      <c r="AA70" s="9"/>
      <c r="AB70" s="9"/>
      <c r="AC70" s="9"/>
      <c r="AD70" s="35" t="s">
        <v>486</v>
      </c>
      <c r="AE70" s="35" t="s">
        <v>487</v>
      </c>
      <c r="AF70" s="9"/>
      <c r="AG70" s="9"/>
      <c r="AH70" s="9"/>
      <c r="AI70" s="9"/>
      <c r="AJ70" s="9"/>
      <c r="AK70" s="9"/>
      <c r="AL70" s="12">
        <v>3363.0</v>
      </c>
      <c r="AM70" s="12" t="s">
        <v>450</v>
      </c>
      <c r="AN70" s="45" t="s">
        <v>49</v>
      </c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112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</row>
    <row r="71" ht="15.0" customHeight="1">
      <c r="A71" s="9"/>
      <c r="B71" s="22" t="s">
        <v>511</v>
      </c>
      <c r="C71" s="24">
        <v>57.83492647058824</v>
      </c>
      <c r="D71" s="90"/>
      <c r="E71" s="35" t="s">
        <v>512</v>
      </c>
      <c r="F71" s="35" t="s">
        <v>513</v>
      </c>
      <c r="G71" s="44"/>
      <c r="H71" s="9"/>
      <c r="I71" s="35" t="s">
        <v>514</v>
      </c>
      <c r="J71" s="35" t="s">
        <v>515</v>
      </c>
      <c r="K71" s="12"/>
      <c r="L71" s="9"/>
      <c r="M71" s="12"/>
      <c r="N71" s="12"/>
      <c r="O71" s="9"/>
      <c r="P71" s="9"/>
      <c r="Q71" s="35" t="s">
        <v>503</v>
      </c>
      <c r="R71" s="35" t="s">
        <v>107</v>
      </c>
      <c r="S71" s="45"/>
      <c r="T71" s="35" t="s">
        <v>512</v>
      </c>
      <c r="U71" s="35" t="s">
        <v>513</v>
      </c>
      <c r="V71" s="12"/>
      <c r="W71" s="9"/>
      <c r="X71" s="9"/>
      <c r="Y71" s="9"/>
      <c r="Z71" s="9"/>
      <c r="AA71" s="9"/>
      <c r="AB71" s="9"/>
      <c r="AC71" s="9"/>
      <c r="AD71" s="35" t="s">
        <v>492</v>
      </c>
      <c r="AE71" s="35" t="s">
        <v>493</v>
      </c>
      <c r="AF71" s="9"/>
      <c r="AG71" s="9"/>
      <c r="AH71" s="9"/>
      <c r="AI71" s="9"/>
      <c r="AJ71" s="9"/>
      <c r="AK71" s="9"/>
      <c r="AL71" s="12">
        <v>3364.0</v>
      </c>
      <c r="AM71" s="12" t="s">
        <v>454</v>
      </c>
      <c r="AN71" s="45" t="s">
        <v>49</v>
      </c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112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</row>
    <row r="72" ht="15.0" customHeight="1">
      <c r="A72" s="9"/>
      <c r="B72" s="22" t="s">
        <v>516</v>
      </c>
      <c r="C72" s="24">
        <v>57.83492647058824</v>
      </c>
      <c r="D72" s="90"/>
      <c r="E72" s="35" t="s">
        <v>517</v>
      </c>
      <c r="F72" s="35" t="s">
        <v>92</v>
      </c>
      <c r="G72" s="44"/>
      <c r="H72" s="9"/>
      <c r="I72" s="35" t="s">
        <v>518</v>
      </c>
      <c r="J72" s="35" t="s">
        <v>519</v>
      </c>
      <c r="K72" s="12"/>
      <c r="L72" s="9"/>
      <c r="M72" s="12"/>
      <c r="N72" s="12"/>
      <c r="O72" s="9"/>
      <c r="P72" s="9"/>
      <c r="Q72" s="35" t="s">
        <v>507</v>
      </c>
      <c r="R72" s="35" t="s">
        <v>508</v>
      </c>
      <c r="S72" s="45"/>
      <c r="T72" s="35" t="s">
        <v>517</v>
      </c>
      <c r="U72" s="35" t="s">
        <v>92</v>
      </c>
      <c r="V72" s="12"/>
      <c r="W72" s="9"/>
      <c r="X72" s="9"/>
      <c r="Y72" s="9"/>
      <c r="Z72" s="9"/>
      <c r="AA72" s="9"/>
      <c r="AB72" s="9"/>
      <c r="AC72" s="9"/>
      <c r="AD72" s="35" t="s">
        <v>498</v>
      </c>
      <c r="AE72" s="35" t="s">
        <v>499</v>
      </c>
      <c r="AF72" s="9"/>
      <c r="AG72" s="9"/>
      <c r="AH72" s="9"/>
      <c r="AI72" s="9"/>
      <c r="AJ72" s="9"/>
      <c r="AK72" s="9"/>
      <c r="AL72" s="12">
        <v>3365.0</v>
      </c>
      <c r="AM72" s="12" t="s">
        <v>458</v>
      </c>
      <c r="AN72" s="45" t="s">
        <v>49</v>
      </c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112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</row>
    <row r="73" ht="15.0" customHeight="1">
      <c r="A73" s="9"/>
      <c r="B73" s="22" t="s">
        <v>520</v>
      </c>
      <c r="C73" s="24">
        <v>57.83492647058824</v>
      </c>
      <c r="D73" s="90"/>
      <c r="E73" s="35" t="s">
        <v>521</v>
      </c>
      <c r="F73" s="35" t="s">
        <v>522</v>
      </c>
      <c r="G73" s="44"/>
      <c r="H73" s="9"/>
      <c r="I73" s="35" t="s">
        <v>523</v>
      </c>
      <c r="J73" s="35" t="s">
        <v>524</v>
      </c>
      <c r="K73" s="12"/>
      <c r="L73" s="9"/>
      <c r="M73" s="12"/>
      <c r="N73" s="12"/>
      <c r="O73" s="9"/>
      <c r="P73" s="9"/>
      <c r="Q73" s="35" t="s">
        <v>512</v>
      </c>
      <c r="R73" s="35" t="s">
        <v>513</v>
      </c>
      <c r="S73" s="45"/>
      <c r="T73" s="35" t="s">
        <v>521</v>
      </c>
      <c r="U73" s="35" t="s">
        <v>522</v>
      </c>
      <c r="V73" s="12"/>
      <c r="W73" s="9"/>
      <c r="X73" s="9"/>
      <c r="Y73" s="9"/>
      <c r="Z73" s="9"/>
      <c r="AA73" s="9"/>
      <c r="AB73" s="9"/>
      <c r="AC73" s="9"/>
      <c r="AD73" s="35" t="s">
        <v>503</v>
      </c>
      <c r="AE73" s="35" t="s">
        <v>107</v>
      </c>
      <c r="AF73" s="9"/>
      <c r="AG73" s="9"/>
      <c r="AH73" s="9"/>
      <c r="AI73" s="9"/>
      <c r="AJ73" s="9"/>
      <c r="AK73" s="9"/>
      <c r="AL73" s="12">
        <v>3370.0</v>
      </c>
      <c r="AM73" s="116" t="s">
        <v>462</v>
      </c>
      <c r="AN73" s="45" t="s">
        <v>49</v>
      </c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112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</row>
    <row r="74" ht="15.0" customHeight="1">
      <c r="A74" s="9"/>
      <c r="B74" s="22" t="s">
        <v>525</v>
      </c>
      <c r="C74" s="24">
        <v>57.83492647058824</v>
      </c>
      <c r="D74" s="90"/>
      <c r="E74" s="35" t="s">
        <v>526</v>
      </c>
      <c r="F74" s="35" t="s">
        <v>527</v>
      </c>
      <c r="G74" s="44"/>
      <c r="H74" s="9"/>
      <c r="I74" s="35" t="s">
        <v>528</v>
      </c>
      <c r="J74" s="35" t="s">
        <v>529</v>
      </c>
      <c r="K74" s="12"/>
      <c r="L74" s="9"/>
      <c r="M74" s="12"/>
      <c r="N74" s="12"/>
      <c r="O74" s="9"/>
      <c r="P74" s="9"/>
      <c r="Q74" s="35" t="s">
        <v>517</v>
      </c>
      <c r="R74" s="35" t="s">
        <v>92</v>
      </c>
      <c r="S74" s="45"/>
      <c r="T74" s="35" t="s">
        <v>526</v>
      </c>
      <c r="U74" s="35" t="s">
        <v>527</v>
      </c>
      <c r="V74" s="12"/>
      <c r="W74" s="9"/>
      <c r="X74" s="9"/>
      <c r="Y74" s="9"/>
      <c r="Z74" s="9"/>
      <c r="AA74" s="9"/>
      <c r="AB74" s="9"/>
      <c r="AC74" s="9"/>
      <c r="AD74" s="35" t="s">
        <v>507</v>
      </c>
      <c r="AE74" s="35" t="s">
        <v>508</v>
      </c>
      <c r="AF74" s="9"/>
      <c r="AG74" s="9"/>
      <c r="AH74" s="9"/>
      <c r="AI74" s="9"/>
      <c r="AJ74" s="9"/>
      <c r="AK74" s="9"/>
      <c r="AL74" s="12">
        <v>3371.0</v>
      </c>
      <c r="AM74" s="116" t="s">
        <v>466</v>
      </c>
      <c r="AN74" s="45" t="s">
        <v>49</v>
      </c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112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</row>
    <row r="75" ht="15.0" customHeight="1">
      <c r="A75" s="9"/>
      <c r="B75" s="22" t="s">
        <v>530</v>
      </c>
      <c r="C75" s="24">
        <v>39.725</v>
      </c>
      <c r="D75" s="115"/>
      <c r="E75" s="35" t="s">
        <v>531</v>
      </c>
      <c r="F75" s="35" t="s">
        <v>532</v>
      </c>
      <c r="G75" s="44"/>
      <c r="H75" s="9"/>
      <c r="I75" s="35" t="s">
        <v>533</v>
      </c>
      <c r="J75" s="35" t="s">
        <v>534</v>
      </c>
      <c r="K75" s="12"/>
      <c r="L75" s="9"/>
      <c r="M75" s="12"/>
      <c r="N75" s="12"/>
      <c r="O75" s="9"/>
      <c r="P75" s="9"/>
      <c r="Q75" s="35" t="s">
        <v>521</v>
      </c>
      <c r="R75" s="35" t="s">
        <v>522</v>
      </c>
      <c r="S75" s="45"/>
      <c r="T75" s="35" t="s">
        <v>531</v>
      </c>
      <c r="U75" s="35" t="s">
        <v>532</v>
      </c>
      <c r="V75" s="12"/>
      <c r="W75" s="9"/>
      <c r="X75" s="9"/>
      <c r="Y75" s="9"/>
      <c r="Z75" s="9"/>
      <c r="AA75" s="9"/>
      <c r="AB75" s="9"/>
      <c r="AC75" s="9"/>
      <c r="AD75" s="35" t="s">
        <v>512</v>
      </c>
      <c r="AE75" s="35" t="s">
        <v>513</v>
      </c>
      <c r="AF75" s="9"/>
      <c r="AG75" s="9"/>
      <c r="AH75" s="9"/>
      <c r="AI75" s="9"/>
      <c r="AJ75" s="9"/>
      <c r="AK75" s="9"/>
      <c r="AL75" s="12">
        <v>3372.0</v>
      </c>
      <c r="AM75" s="116" t="s">
        <v>535</v>
      </c>
      <c r="AN75" s="45" t="s">
        <v>49</v>
      </c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112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</row>
    <row r="76" ht="15.0" customHeight="1">
      <c r="A76" s="9"/>
      <c r="B76" s="22" t="s">
        <v>536</v>
      </c>
      <c r="C76" s="24">
        <v>39.725</v>
      </c>
      <c r="D76" s="90"/>
      <c r="E76" s="35" t="s">
        <v>537</v>
      </c>
      <c r="F76" s="35" t="s">
        <v>69</v>
      </c>
      <c r="G76" s="44"/>
      <c r="H76" s="9"/>
      <c r="I76" s="35" t="s">
        <v>538</v>
      </c>
      <c r="J76" s="35" t="s">
        <v>539</v>
      </c>
      <c r="K76" s="12"/>
      <c r="L76" s="9"/>
      <c r="M76" s="12"/>
      <c r="N76" s="12"/>
      <c r="O76" s="9"/>
      <c r="P76" s="9"/>
      <c r="Q76" s="35" t="s">
        <v>526</v>
      </c>
      <c r="R76" s="35" t="s">
        <v>527</v>
      </c>
      <c r="S76" s="45"/>
      <c r="T76" s="35" t="s">
        <v>537</v>
      </c>
      <c r="U76" s="35" t="s">
        <v>69</v>
      </c>
      <c r="V76" s="12"/>
      <c r="W76" s="9"/>
      <c r="X76" s="9"/>
      <c r="Y76" s="9"/>
      <c r="Z76" s="9"/>
      <c r="AA76" s="9"/>
      <c r="AB76" s="9"/>
      <c r="AC76" s="9"/>
      <c r="AD76" s="35" t="s">
        <v>517</v>
      </c>
      <c r="AE76" s="35" t="s">
        <v>92</v>
      </c>
      <c r="AF76" s="9"/>
      <c r="AG76" s="9"/>
      <c r="AH76" s="9"/>
      <c r="AI76" s="9"/>
      <c r="AJ76" s="9"/>
      <c r="AK76" s="9"/>
      <c r="AL76" s="12">
        <v>3373.0</v>
      </c>
      <c r="AM76" s="116" t="s">
        <v>540</v>
      </c>
      <c r="AN76" s="45" t="s">
        <v>49</v>
      </c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112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</row>
    <row r="77" ht="15.0" customHeight="1">
      <c r="A77" s="9"/>
      <c r="B77" s="22" t="s">
        <v>541</v>
      </c>
      <c r="C77" s="24">
        <v>39.725</v>
      </c>
      <c r="D77" s="90"/>
      <c r="E77" s="35" t="s">
        <v>542</v>
      </c>
      <c r="F77" s="35" t="s">
        <v>543</v>
      </c>
      <c r="G77" s="44"/>
      <c r="H77" s="9"/>
      <c r="I77" s="35" t="s">
        <v>544</v>
      </c>
      <c r="J77" s="35" t="s">
        <v>545</v>
      </c>
      <c r="K77" s="12"/>
      <c r="L77" s="9"/>
      <c r="M77" s="12"/>
      <c r="N77" s="12"/>
      <c r="O77" s="9"/>
      <c r="P77" s="9"/>
      <c r="Q77" s="35" t="s">
        <v>531</v>
      </c>
      <c r="R77" s="35" t="s">
        <v>532</v>
      </c>
      <c r="S77" s="45"/>
      <c r="T77" s="35" t="s">
        <v>542</v>
      </c>
      <c r="U77" s="35" t="s">
        <v>543</v>
      </c>
      <c r="V77" s="12"/>
      <c r="W77" s="9"/>
      <c r="X77" s="9"/>
      <c r="Y77" s="9"/>
      <c r="Z77" s="9"/>
      <c r="AA77" s="9"/>
      <c r="AB77" s="9"/>
      <c r="AC77" s="9"/>
      <c r="AD77" s="35" t="s">
        <v>521</v>
      </c>
      <c r="AE77" s="35" t="s">
        <v>522</v>
      </c>
      <c r="AF77" s="9"/>
      <c r="AG77" s="9"/>
      <c r="AH77" s="9"/>
      <c r="AI77" s="9"/>
      <c r="AJ77" s="9"/>
      <c r="AK77" s="9"/>
      <c r="AL77" s="12">
        <v>3377.0</v>
      </c>
      <c r="AM77" s="116" t="s">
        <v>470</v>
      </c>
      <c r="AN77" s="45" t="s">
        <v>49</v>
      </c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112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</row>
    <row r="78" ht="15.0" customHeight="1">
      <c r="A78" s="9"/>
      <c r="B78" s="22" t="s">
        <v>546</v>
      </c>
      <c r="C78" s="24">
        <v>39.725</v>
      </c>
      <c r="D78" s="90"/>
      <c r="E78" s="35" t="s">
        <v>547</v>
      </c>
      <c r="F78" s="35" t="s">
        <v>548</v>
      </c>
      <c r="G78" s="44"/>
      <c r="H78" s="9"/>
      <c r="I78" s="35" t="s">
        <v>549</v>
      </c>
      <c r="J78" s="35" t="s">
        <v>550</v>
      </c>
      <c r="K78" s="12"/>
      <c r="L78" s="9"/>
      <c r="M78" s="12"/>
      <c r="N78" s="12"/>
      <c r="O78" s="9"/>
      <c r="P78" s="9"/>
      <c r="Q78" s="35" t="s">
        <v>537</v>
      </c>
      <c r="R78" s="35" t="s">
        <v>69</v>
      </c>
      <c r="S78" s="45"/>
      <c r="T78" s="35" t="s">
        <v>547</v>
      </c>
      <c r="U78" s="35" t="s">
        <v>548</v>
      </c>
      <c r="V78" s="12"/>
      <c r="W78" s="9"/>
      <c r="X78" s="9"/>
      <c r="Y78" s="9"/>
      <c r="Z78" s="9"/>
      <c r="AA78" s="9"/>
      <c r="AB78" s="9"/>
      <c r="AC78" s="9"/>
      <c r="AD78" s="35" t="s">
        <v>526</v>
      </c>
      <c r="AE78" s="35" t="s">
        <v>527</v>
      </c>
      <c r="AF78" s="9"/>
      <c r="AG78" s="9"/>
      <c r="AH78" s="9"/>
      <c r="AI78" s="9"/>
      <c r="AJ78" s="9"/>
      <c r="AK78" s="9"/>
      <c r="AL78" s="12">
        <v>3386.0</v>
      </c>
      <c r="AM78" s="116" t="s">
        <v>475</v>
      </c>
      <c r="AN78" s="45" t="s">
        <v>49</v>
      </c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112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</row>
    <row r="79" ht="15.0" customHeight="1">
      <c r="A79" s="9"/>
      <c r="B79" s="22" t="s">
        <v>551</v>
      </c>
      <c r="C79" s="24">
        <v>39.725</v>
      </c>
      <c r="D79" s="90"/>
      <c r="E79" s="35" t="s">
        <v>552</v>
      </c>
      <c r="F79" s="35" t="s">
        <v>553</v>
      </c>
      <c r="G79" s="44"/>
      <c r="H79" s="9"/>
      <c r="I79" s="35" t="s">
        <v>554</v>
      </c>
      <c r="J79" s="35" t="s">
        <v>555</v>
      </c>
      <c r="K79" s="12"/>
      <c r="L79" s="9"/>
      <c r="M79" s="12"/>
      <c r="N79" s="12"/>
      <c r="O79" s="9"/>
      <c r="P79" s="9"/>
      <c r="Q79" s="35" t="s">
        <v>437</v>
      </c>
      <c r="R79" s="35" t="s">
        <v>438</v>
      </c>
      <c r="S79" s="45"/>
      <c r="T79" s="35" t="s">
        <v>552</v>
      </c>
      <c r="U79" s="35" t="s">
        <v>553</v>
      </c>
      <c r="V79" s="12"/>
      <c r="W79" s="9"/>
      <c r="X79" s="9"/>
      <c r="Y79" s="9"/>
      <c r="Z79" s="9"/>
      <c r="AA79" s="9"/>
      <c r="AB79" s="9"/>
      <c r="AC79" s="9"/>
      <c r="AD79" s="35" t="s">
        <v>531</v>
      </c>
      <c r="AE79" s="35" t="s">
        <v>532</v>
      </c>
      <c r="AF79" s="9"/>
      <c r="AG79" s="9"/>
      <c r="AH79" s="9"/>
      <c r="AI79" s="9"/>
      <c r="AJ79" s="9"/>
      <c r="AK79" s="9"/>
      <c r="AL79" s="12">
        <v>3387.0</v>
      </c>
      <c r="AM79" s="116" t="s">
        <v>479</v>
      </c>
      <c r="AN79" s="45" t="s">
        <v>49</v>
      </c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112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</row>
    <row r="80" ht="15.0" customHeight="1">
      <c r="A80" s="9"/>
      <c r="B80" s="22" t="s">
        <v>556</v>
      </c>
      <c r="C80" s="24">
        <v>39.725</v>
      </c>
      <c r="D80" s="90"/>
      <c r="E80" s="35" t="s">
        <v>441</v>
      </c>
      <c r="F80" s="35" t="s">
        <v>442</v>
      </c>
      <c r="G80" s="44"/>
      <c r="H80" s="9"/>
      <c r="I80" s="35" t="s">
        <v>557</v>
      </c>
      <c r="J80" s="35" t="s">
        <v>558</v>
      </c>
      <c r="K80" s="12"/>
      <c r="L80" s="9"/>
      <c r="M80" s="12"/>
      <c r="N80" s="12"/>
      <c r="O80" s="9"/>
      <c r="P80" s="9"/>
      <c r="Q80" s="35" t="s">
        <v>542</v>
      </c>
      <c r="R80" s="35" t="s">
        <v>543</v>
      </c>
      <c r="S80" s="45"/>
      <c r="T80" s="35" t="s">
        <v>441</v>
      </c>
      <c r="U80" s="35" t="s">
        <v>442</v>
      </c>
      <c r="V80" s="12"/>
      <c r="W80" s="9"/>
      <c r="X80" s="9"/>
      <c r="Y80" s="9"/>
      <c r="Z80" s="9"/>
      <c r="AA80" s="9"/>
      <c r="AB80" s="9"/>
      <c r="AC80" s="9"/>
      <c r="AD80" s="35" t="s">
        <v>537</v>
      </c>
      <c r="AE80" s="35" t="s">
        <v>69</v>
      </c>
      <c r="AF80" s="9"/>
      <c r="AG80" s="9"/>
      <c r="AH80" s="9"/>
      <c r="AI80" s="9"/>
      <c r="AJ80" s="9"/>
      <c r="AK80" s="9"/>
      <c r="AL80" s="12">
        <v>3389.0</v>
      </c>
      <c r="AM80" s="116" t="s">
        <v>559</v>
      </c>
      <c r="AN80" s="45" t="s">
        <v>49</v>
      </c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112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</row>
    <row r="81" ht="15.0" customHeight="1">
      <c r="A81" s="9"/>
      <c r="B81" s="22" t="s">
        <v>560</v>
      </c>
      <c r="C81" s="24">
        <v>39.725</v>
      </c>
      <c r="D81" s="90"/>
      <c r="E81" s="35" t="s">
        <v>445</v>
      </c>
      <c r="F81" s="35" t="s">
        <v>446</v>
      </c>
      <c r="G81" s="44"/>
      <c r="H81" s="9"/>
      <c r="I81" s="35" t="s">
        <v>561</v>
      </c>
      <c r="J81" s="35" t="s">
        <v>562</v>
      </c>
      <c r="K81" s="12"/>
      <c r="L81" s="9"/>
      <c r="M81" s="12"/>
      <c r="N81" s="12"/>
      <c r="O81" s="9"/>
      <c r="P81" s="9"/>
      <c r="Q81" s="35" t="s">
        <v>547</v>
      </c>
      <c r="R81" s="35" t="s">
        <v>548</v>
      </c>
      <c r="S81" s="45"/>
      <c r="T81" s="35" t="s">
        <v>445</v>
      </c>
      <c r="U81" s="35" t="s">
        <v>446</v>
      </c>
      <c r="V81" s="12"/>
      <c r="W81" s="9"/>
      <c r="X81" s="9"/>
      <c r="Y81" s="9"/>
      <c r="Z81" s="9"/>
      <c r="AA81" s="9"/>
      <c r="AB81" s="9"/>
      <c r="AC81" s="9"/>
      <c r="AD81" s="35" t="s">
        <v>437</v>
      </c>
      <c r="AE81" s="35" t="s">
        <v>438</v>
      </c>
      <c r="AF81" s="9"/>
      <c r="AG81" s="9"/>
      <c r="AH81" s="9"/>
      <c r="AI81" s="9"/>
      <c r="AJ81" s="9"/>
      <c r="AK81" s="9"/>
      <c r="AL81" s="12">
        <v>3390.0</v>
      </c>
      <c r="AM81" s="116" t="s">
        <v>483</v>
      </c>
      <c r="AN81" s="45" t="s">
        <v>49</v>
      </c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112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</row>
    <row r="82" ht="15.0" customHeight="1">
      <c r="A82" s="9"/>
      <c r="B82" s="22" t="s">
        <v>563</v>
      </c>
      <c r="C82" s="24">
        <v>39.725</v>
      </c>
      <c r="D82" s="90"/>
      <c r="E82" s="35" t="s">
        <v>449</v>
      </c>
      <c r="F82" s="35" t="s">
        <v>450</v>
      </c>
      <c r="G82" s="44"/>
      <c r="H82" s="9"/>
      <c r="I82" s="35" t="s">
        <v>564</v>
      </c>
      <c r="J82" s="35" t="s">
        <v>565</v>
      </c>
      <c r="K82" s="12"/>
      <c r="L82" s="9"/>
      <c r="M82" s="12"/>
      <c r="N82" s="12"/>
      <c r="O82" s="9"/>
      <c r="P82" s="9"/>
      <c r="Q82" s="35" t="s">
        <v>552</v>
      </c>
      <c r="R82" s="35" t="s">
        <v>553</v>
      </c>
      <c r="S82" s="45"/>
      <c r="T82" s="35" t="s">
        <v>449</v>
      </c>
      <c r="U82" s="35" t="s">
        <v>450</v>
      </c>
      <c r="V82" s="12"/>
      <c r="W82" s="9"/>
      <c r="X82" s="9"/>
      <c r="Y82" s="9"/>
      <c r="Z82" s="9"/>
      <c r="AA82" s="9"/>
      <c r="AB82" s="9"/>
      <c r="AC82" s="9"/>
      <c r="AD82" s="35" t="s">
        <v>542</v>
      </c>
      <c r="AE82" s="35" t="s">
        <v>543</v>
      </c>
      <c r="AF82" s="9"/>
      <c r="AG82" s="9"/>
      <c r="AH82" s="9"/>
      <c r="AI82" s="9"/>
      <c r="AJ82" s="9"/>
      <c r="AK82" s="9"/>
      <c r="AL82" s="12">
        <v>3391.0</v>
      </c>
      <c r="AM82" s="116" t="s">
        <v>566</v>
      </c>
      <c r="AN82" s="45" t="s">
        <v>49</v>
      </c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112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</row>
    <row r="83" ht="15.0" customHeight="1">
      <c r="A83" s="9"/>
      <c r="B83" s="22" t="s">
        <v>567</v>
      </c>
      <c r="C83" s="24">
        <v>59.385</v>
      </c>
      <c r="D83" s="90"/>
      <c r="E83" s="35" t="s">
        <v>453</v>
      </c>
      <c r="F83" s="35" t="s">
        <v>454</v>
      </c>
      <c r="G83" s="44"/>
      <c r="H83" s="9"/>
      <c r="I83" s="35" t="s">
        <v>568</v>
      </c>
      <c r="J83" s="35" t="s">
        <v>569</v>
      </c>
      <c r="K83" s="12"/>
      <c r="L83" s="9"/>
      <c r="M83" s="12"/>
      <c r="N83" s="12"/>
      <c r="O83" s="9"/>
      <c r="P83" s="9"/>
      <c r="Q83" s="35" t="s">
        <v>441</v>
      </c>
      <c r="R83" s="35" t="s">
        <v>442</v>
      </c>
      <c r="S83" s="45"/>
      <c r="T83" s="35" t="s">
        <v>453</v>
      </c>
      <c r="U83" s="35" t="s">
        <v>454</v>
      </c>
      <c r="V83" s="12"/>
      <c r="W83" s="9"/>
      <c r="X83" s="9"/>
      <c r="Y83" s="9"/>
      <c r="Z83" s="9"/>
      <c r="AA83" s="9"/>
      <c r="AB83" s="9"/>
      <c r="AC83" s="9"/>
      <c r="AD83" s="35" t="s">
        <v>547</v>
      </c>
      <c r="AE83" s="35" t="s">
        <v>548</v>
      </c>
      <c r="AF83" s="9"/>
      <c r="AG83" s="9"/>
      <c r="AH83" s="9"/>
      <c r="AI83" s="9"/>
      <c r="AJ83" s="9"/>
      <c r="AK83" s="9"/>
      <c r="AL83" s="12">
        <v>3392.0</v>
      </c>
      <c r="AM83" s="116" t="s">
        <v>570</v>
      </c>
      <c r="AN83" s="45" t="s">
        <v>49</v>
      </c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112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</row>
    <row r="84" ht="15.0" customHeight="1">
      <c r="A84" s="9"/>
      <c r="B84" s="22" t="s">
        <v>571</v>
      </c>
      <c r="C84" s="24">
        <v>59.385</v>
      </c>
      <c r="D84" s="90"/>
      <c r="E84" s="35" t="s">
        <v>457</v>
      </c>
      <c r="F84" s="35" t="s">
        <v>458</v>
      </c>
      <c r="G84" s="44"/>
      <c r="H84" s="9"/>
      <c r="I84" s="35" t="s">
        <v>572</v>
      </c>
      <c r="J84" s="35" t="s">
        <v>573</v>
      </c>
      <c r="K84" s="12"/>
      <c r="L84" s="9"/>
      <c r="M84" s="12"/>
      <c r="N84" s="12"/>
      <c r="O84" s="9"/>
      <c r="P84" s="9"/>
      <c r="Q84" s="35" t="s">
        <v>445</v>
      </c>
      <c r="R84" s="35" t="s">
        <v>446</v>
      </c>
      <c r="S84" s="45"/>
      <c r="T84" s="35" t="s">
        <v>457</v>
      </c>
      <c r="U84" s="35" t="s">
        <v>458</v>
      </c>
      <c r="V84" s="12"/>
      <c r="W84" s="9"/>
      <c r="X84" s="9"/>
      <c r="Y84" s="9"/>
      <c r="Z84" s="9"/>
      <c r="AA84" s="9"/>
      <c r="AB84" s="9"/>
      <c r="AC84" s="9"/>
      <c r="AD84" s="35" t="s">
        <v>552</v>
      </c>
      <c r="AE84" s="35" t="s">
        <v>553</v>
      </c>
      <c r="AF84" s="9"/>
      <c r="AG84" s="9"/>
      <c r="AH84" s="9"/>
      <c r="AI84" s="9"/>
      <c r="AJ84" s="9"/>
      <c r="AK84" s="9"/>
      <c r="AL84" s="12">
        <v>3393.0</v>
      </c>
      <c r="AM84" s="116" t="s">
        <v>574</v>
      </c>
      <c r="AN84" s="45" t="s">
        <v>49</v>
      </c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112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</row>
    <row r="85" ht="15.0" customHeight="1">
      <c r="A85" s="9"/>
      <c r="B85" s="22" t="s">
        <v>575</v>
      </c>
      <c r="C85" s="24">
        <v>59.385</v>
      </c>
      <c r="D85" s="90"/>
      <c r="E85" s="35" t="s">
        <v>576</v>
      </c>
      <c r="F85" s="35" t="s">
        <v>577</v>
      </c>
      <c r="G85" s="44"/>
      <c r="H85" s="9"/>
      <c r="I85" s="35" t="s">
        <v>578</v>
      </c>
      <c r="J85" s="35" t="s">
        <v>579</v>
      </c>
      <c r="K85" s="12"/>
      <c r="L85" s="9"/>
      <c r="M85" s="12"/>
      <c r="N85" s="12"/>
      <c r="O85" s="9"/>
      <c r="P85" s="9"/>
      <c r="Q85" s="35" t="s">
        <v>449</v>
      </c>
      <c r="R85" s="35" t="s">
        <v>450</v>
      </c>
      <c r="S85" s="45"/>
      <c r="T85" s="35" t="s">
        <v>576</v>
      </c>
      <c r="U85" s="35" t="s">
        <v>577</v>
      </c>
      <c r="V85" s="12"/>
      <c r="W85" s="9"/>
      <c r="X85" s="9"/>
      <c r="Y85" s="9"/>
      <c r="Z85" s="9"/>
      <c r="AA85" s="9"/>
      <c r="AB85" s="9"/>
      <c r="AC85" s="9"/>
      <c r="AD85" s="35" t="s">
        <v>441</v>
      </c>
      <c r="AE85" s="35" t="s">
        <v>442</v>
      </c>
      <c r="AF85" s="9"/>
      <c r="AG85" s="9"/>
      <c r="AH85" s="9"/>
      <c r="AI85" s="9"/>
      <c r="AJ85" s="9"/>
      <c r="AK85" s="9"/>
      <c r="AL85" s="12">
        <v>3402.0</v>
      </c>
      <c r="AM85" s="12" t="s">
        <v>489</v>
      </c>
      <c r="AN85" s="45" t="s">
        <v>49</v>
      </c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112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</row>
    <row r="86" ht="15.0" customHeight="1">
      <c r="A86" s="9"/>
      <c r="B86" s="22" t="s">
        <v>580</v>
      </c>
      <c r="C86" s="24">
        <v>59.385</v>
      </c>
      <c r="D86" s="90"/>
      <c r="E86" s="35" t="s">
        <v>581</v>
      </c>
      <c r="F86" s="35" t="s">
        <v>582</v>
      </c>
      <c r="G86" s="44"/>
      <c r="H86" s="9"/>
      <c r="I86" s="35" t="s">
        <v>583</v>
      </c>
      <c r="J86" s="35" t="s">
        <v>584</v>
      </c>
      <c r="K86" s="12"/>
      <c r="L86" s="9"/>
      <c r="M86" s="12"/>
      <c r="N86" s="12"/>
      <c r="O86" s="9"/>
      <c r="P86" s="9"/>
      <c r="Q86" s="35" t="s">
        <v>453</v>
      </c>
      <c r="R86" s="35" t="s">
        <v>454</v>
      </c>
      <c r="S86" s="45"/>
      <c r="T86" s="35" t="s">
        <v>581</v>
      </c>
      <c r="U86" s="35" t="s">
        <v>582</v>
      </c>
      <c r="V86" s="12"/>
      <c r="W86" s="9"/>
      <c r="X86" s="9"/>
      <c r="Y86" s="9"/>
      <c r="Z86" s="9"/>
      <c r="AA86" s="9"/>
      <c r="AB86" s="9"/>
      <c r="AC86" s="9"/>
      <c r="AD86" s="35" t="s">
        <v>445</v>
      </c>
      <c r="AE86" s="35" t="s">
        <v>446</v>
      </c>
      <c r="AF86" s="9"/>
      <c r="AG86" s="9"/>
      <c r="AH86" s="9"/>
      <c r="AI86" s="9"/>
      <c r="AJ86" s="9"/>
      <c r="AK86" s="9"/>
      <c r="AL86" s="12">
        <v>3403.0</v>
      </c>
      <c r="AM86" s="12" t="s">
        <v>495</v>
      </c>
      <c r="AN86" s="45" t="s">
        <v>49</v>
      </c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112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</row>
    <row r="87" ht="15.0" customHeight="1">
      <c r="A87" s="9"/>
      <c r="B87" s="22" t="s">
        <v>585</v>
      </c>
      <c r="C87" s="24">
        <v>41.473</v>
      </c>
      <c r="D87" s="90"/>
      <c r="E87" s="35" t="s">
        <v>461</v>
      </c>
      <c r="F87" s="35" t="s">
        <v>462</v>
      </c>
      <c r="G87" s="44"/>
      <c r="H87" s="9"/>
      <c r="I87" s="35" t="s">
        <v>586</v>
      </c>
      <c r="J87" s="35" t="s">
        <v>587</v>
      </c>
      <c r="K87" s="9"/>
      <c r="L87" s="9"/>
      <c r="M87" s="12"/>
      <c r="N87" s="12"/>
      <c r="O87" s="9"/>
      <c r="P87" s="9"/>
      <c r="Q87" s="35" t="s">
        <v>457</v>
      </c>
      <c r="R87" s="35" t="s">
        <v>458</v>
      </c>
      <c r="S87" s="45"/>
      <c r="T87" s="35" t="s">
        <v>461</v>
      </c>
      <c r="U87" s="35" t="s">
        <v>462</v>
      </c>
      <c r="V87" s="12"/>
      <c r="W87" s="9"/>
      <c r="X87" s="9"/>
      <c r="Y87" s="9"/>
      <c r="Z87" s="9"/>
      <c r="AA87" s="9"/>
      <c r="AB87" s="9"/>
      <c r="AC87" s="9"/>
      <c r="AD87" s="35" t="s">
        <v>449</v>
      </c>
      <c r="AE87" s="35" t="s">
        <v>450</v>
      </c>
      <c r="AF87" s="9"/>
      <c r="AG87" s="9"/>
      <c r="AH87" s="9"/>
      <c r="AI87" s="9"/>
      <c r="AJ87" s="9"/>
      <c r="AK87" s="9"/>
      <c r="AL87" s="12">
        <v>3404.0</v>
      </c>
      <c r="AM87" s="12" t="s">
        <v>501</v>
      </c>
      <c r="AN87" s="45" t="s">
        <v>49</v>
      </c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112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</row>
    <row r="88" ht="15.0" customHeight="1">
      <c r="A88" s="9"/>
      <c r="B88" s="22" t="s">
        <v>588</v>
      </c>
      <c r="C88" s="24">
        <v>41.473</v>
      </c>
      <c r="D88" s="90"/>
      <c r="E88" s="35" t="s">
        <v>465</v>
      </c>
      <c r="F88" s="35" t="s">
        <v>466</v>
      </c>
      <c r="G88" s="44"/>
      <c r="H88" s="9"/>
      <c r="I88" s="35" t="s">
        <v>589</v>
      </c>
      <c r="J88" s="35" t="s">
        <v>590</v>
      </c>
      <c r="K88" s="9"/>
      <c r="L88" s="9"/>
      <c r="M88" s="12"/>
      <c r="N88" s="12"/>
      <c r="O88" s="9"/>
      <c r="P88" s="9"/>
      <c r="Q88" s="35" t="s">
        <v>576</v>
      </c>
      <c r="R88" s="35" t="s">
        <v>577</v>
      </c>
      <c r="S88" s="45"/>
      <c r="T88" s="35" t="s">
        <v>465</v>
      </c>
      <c r="U88" s="35" t="s">
        <v>466</v>
      </c>
      <c r="V88" s="12"/>
      <c r="W88" s="9"/>
      <c r="X88" s="9"/>
      <c r="Y88" s="9"/>
      <c r="Z88" s="9"/>
      <c r="AA88" s="9"/>
      <c r="AB88" s="9"/>
      <c r="AC88" s="9"/>
      <c r="AD88" s="35" t="s">
        <v>453</v>
      </c>
      <c r="AE88" s="35" t="s">
        <v>454</v>
      </c>
      <c r="AF88" s="9"/>
      <c r="AG88" s="9"/>
      <c r="AH88" s="9"/>
      <c r="AI88" s="9"/>
      <c r="AJ88" s="9"/>
      <c r="AK88" s="9"/>
      <c r="AL88" s="12">
        <v>3405.0</v>
      </c>
      <c r="AM88" s="12" t="s">
        <v>505</v>
      </c>
      <c r="AN88" s="45" t="s">
        <v>49</v>
      </c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112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</row>
    <row r="89" ht="15.0" customHeight="1">
      <c r="A89" s="9"/>
      <c r="B89" s="22" t="s">
        <v>591</v>
      </c>
      <c r="C89" s="24">
        <v>41.473</v>
      </c>
      <c r="D89" s="115"/>
      <c r="E89" s="35" t="s">
        <v>469</v>
      </c>
      <c r="F89" s="35" t="s">
        <v>470</v>
      </c>
      <c r="G89" s="44"/>
      <c r="H89" s="9"/>
      <c r="I89" s="35" t="s">
        <v>592</v>
      </c>
      <c r="J89" s="35" t="s">
        <v>593</v>
      </c>
      <c r="K89" s="9"/>
      <c r="L89" s="9"/>
      <c r="M89" s="12"/>
      <c r="N89" s="12"/>
      <c r="O89" s="9"/>
      <c r="P89" s="9"/>
      <c r="Q89" s="35" t="s">
        <v>581</v>
      </c>
      <c r="R89" s="35" t="s">
        <v>582</v>
      </c>
      <c r="S89" s="45"/>
      <c r="T89" s="35" t="s">
        <v>469</v>
      </c>
      <c r="U89" s="35" t="s">
        <v>470</v>
      </c>
      <c r="V89" s="12"/>
      <c r="W89" s="9"/>
      <c r="X89" s="9"/>
      <c r="Y89" s="9"/>
      <c r="Z89" s="9"/>
      <c r="AA89" s="9"/>
      <c r="AB89" s="9"/>
      <c r="AC89" s="9"/>
      <c r="AD89" s="114" t="s">
        <v>457</v>
      </c>
      <c r="AE89" s="114" t="s">
        <v>458</v>
      </c>
      <c r="AF89" s="9"/>
      <c r="AG89" s="9"/>
      <c r="AH89" s="9"/>
      <c r="AI89" s="9"/>
      <c r="AJ89" s="9"/>
      <c r="AK89" s="9"/>
      <c r="AL89" s="12">
        <v>3406.0</v>
      </c>
      <c r="AM89" s="12" t="s">
        <v>510</v>
      </c>
      <c r="AN89" s="45" t="s">
        <v>49</v>
      </c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112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</row>
    <row r="90" ht="15.0" customHeight="1">
      <c r="A90" s="9"/>
      <c r="B90" s="22" t="s">
        <v>594</v>
      </c>
      <c r="C90" s="24">
        <v>41.901</v>
      </c>
      <c r="D90" s="115"/>
      <c r="E90" s="35" t="s">
        <v>474</v>
      </c>
      <c r="F90" s="35" t="s">
        <v>475</v>
      </c>
      <c r="G90" s="44"/>
      <c r="H90" s="9"/>
      <c r="I90" s="35" t="s">
        <v>595</v>
      </c>
      <c r="J90" s="35" t="s">
        <v>596</v>
      </c>
      <c r="K90" s="9"/>
      <c r="L90" s="9"/>
      <c r="M90" s="12"/>
      <c r="N90" s="12"/>
      <c r="O90" s="9"/>
      <c r="P90" s="9"/>
      <c r="Q90" s="35" t="s">
        <v>461</v>
      </c>
      <c r="R90" s="35" t="s">
        <v>462</v>
      </c>
      <c r="S90" s="45"/>
      <c r="T90" s="35" t="s">
        <v>474</v>
      </c>
      <c r="U90" s="35" t="s">
        <v>475</v>
      </c>
      <c r="V90" s="12"/>
      <c r="W90" s="9"/>
      <c r="X90" s="9"/>
      <c r="Y90" s="9"/>
      <c r="Z90" s="9"/>
      <c r="AA90" s="9"/>
      <c r="AB90" s="9"/>
      <c r="AC90" s="9"/>
      <c r="AD90" s="35" t="s">
        <v>576</v>
      </c>
      <c r="AE90" s="35" t="s">
        <v>577</v>
      </c>
      <c r="AF90" s="9"/>
      <c r="AG90" s="9"/>
      <c r="AH90" s="9"/>
      <c r="AI90" s="9"/>
      <c r="AJ90" s="9"/>
      <c r="AK90" s="9"/>
      <c r="AL90" s="12">
        <v>3407.0</v>
      </c>
      <c r="AM90" s="12" t="s">
        <v>597</v>
      </c>
      <c r="AN90" s="45" t="s">
        <v>49</v>
      </c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112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</row>
    <row r="91" ht="15.0" customHeight="1">
      <c r="A91" s="9"/>
      <c r="B91" s="22" t="s">
        <v>598</v>
      </c>
      <c r="C91" s="24">
        <v>41.901</v>
      </c>
      <c r="D91" s="16"/>
      <c r="E91" s="35" t="s">
        <v>478</v>
      </c>
      <c r="F91" s="35" t="s">
        <v>479</v>
      </c>
      <c r="G91" s="44"/>
      <c r="H91" s="9"/>
      <c r="I91" s="35" t="s">
        <v>599</v>
      </c>
      <c r="J91" s="35" t="s">
        <v>600</v>
      </c>
      <c r="K91" s="9"/>
      <c r="L91" s="9"/>
      <c r="M91" s="12"/>
      <c r="N91" s="12"/>
      <c r="O91" s="9"/>
      <c r="P91" s="9"/>
      <c r="Q91" s="35" t="s">
        <v>465</v>
      </c>
      <c r="R91" s="35" t="s">
        <v>466</v>
      </c>
      <c r="S91" s="62"/>
      <c r="T91" s="35" t="s">
        <v>478</v>
      </c>
      <c r="U91" s="35" t="s">
        <v>479</v>
      </c>
      <c r="V91" s="12"/>
      <c r="W91" s="9"/>
      <c r="X91" s="9"/>
      <c r="Y91" s="9"/>
      <c r="Z91" s="9"/>
      <c r="AA91" s="9"/>
      <c r="AB91" s="9"/>
      <c r="AC91" s="9"/>
      <c r="AD91" s="35" t="s">
        <v>581</v>
      </c>
      <c r="AE91" s="35" t="s">
        <v>582</v>
      </c>
      <c r="AF91" s="9"/>
      <c r="AG91" s="9"/>
      <c r="AH91" s="9"/>
      <c r="AI91" s="9"/>
      <c r="AJ91" s="9"/>
      <c r="AK91" s="9"/>
      <c r="AL91" s="12">
        <v>3408.0</v>
      </c>
      <c r="AM91" s="12" t="s">
        <v>601</v>
      </c>
      <c r="AN91" s="45" t="s">
        <v>49</v>
      </c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112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</row>
    <row r="92" ht="15.0" customHeight="1">
      <c r="A92" s="9"/>
      <c r="B92" s="22" t="s">
        <v>602</v>
      </c>
      <c r="C92" s="24">
        <v>41.901</v>
      </c>
      <c r="D92" s="16"/>
      <c r="E92" s="35" t="s">
        <v>603</v>
      </c>
      <c r="F92" s="35" t="s">
        <v>559</v>
      </c>
      <c r="G92" s="44"/>
      <c r="H92" s="9"/>
      <c r="I92" s="35" t="s">
        <v>604</v>
      </c>
      <c r="J92" s="35" t="s">
        <v>605</v>
      </c>
      <c r="K92" s="9"/>
      <c r="L92" s="9"/>
      <c r="M92" s="12"/>
      <c r="N92" s="12"/>
      <c r="O92" s="9"/>
      <c r="P92" s="9"/>
      <c r="Q92" s="35" t="s">
        <v>469</v>
      </c>
      <c r="R92" s="35" t="s">
        <v>470</v>
      </c>
      <c r="S92" s="62"/>
      <c r="T92" s="35" t="s">
        <v>603</v>
      </c>
      <c r="U92" s="35" t="s">
        <v>559</v>
      </c>
      <c r="V92" s="12"/>
      <c r="W92" s="9"/>
      <c r="X92" s="9"/>
      <c r="Y92" s="9"/>
      <c r="Z92" s="9"/>
      <c r="AA92" s="9"/>
      <c r="AB92" s="9"/>
      <c r="AC92" s="9"/>
      <c r="AD92" s="35" t="s">
        <v>461</v>
      </c>
      <c r="AE92" s="35" t="s">
        <v>462</v>
      </c>
      <c r="AF92" s="9"/>
      <c r="AG92" s="9"/>
      <c r="AH92" s="9"/>
      <c r="AI92" s="9"/>
      <c r="AJ92" s="9"/>
      <c r="AK92" s="9"/>
      <c r="AL92" s="12">
        <v>3412.0</v>
      </c>
      <c r="AM92" s="12" t="s">
        <v>515</v>
      </c>
      <c r="AN92" s="45" t="s">
        <v>49</v>
      </c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112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</row>
    <row r="93" ht="15.0" customHeight="1">
      <c r="A93" s="9"/>
      <c r="B93" s="22" t="s">
        <v>606</v>
      </c>
      <c r="C93" s="24">
        <v>62.779</v>
      </c>
      <c r="D93" s="16"/>
      <c r="E93" s="35" t="s">
        <v>482</v>
      </c>
      <c r="F93" s="35" t="s">
        <v>483</v>
      </c>
      <c r="G93" s="44"/>
      <c r="H93" s="9"/>
      <c r="I93" s="35" t="s">
        <v>607</v>
      </c>
      <c r="J93" s="35" t="s">
        <v>608</v>
      </c>
      <c r="K93" s="9"/>
      <c r="L93" s="9"/>
      <c r="M93" s="12"/>
      <c r="N93" s="12"/>
      <c r="O93" s="9"/>
      <c r="P93" s="9"/>
      <c r="Q93" s="35" t="s">
        <v>474</v>
      </c>
      <c r="R93" s="35" t="s">
        <v>475</v>
      </c>
      <c r="S93" s="62"/>
      <c r="T93" s="35" t="s">
        <v>482</v>
      </c>
      <c r="U93" s="35" t="s">
        <v>483</v>
      </c>
      <c r="V93" s="12"/>
      <c r="W93" s="9"/>
      <c r="X93" s="9"/>
      <c r="Y93" s="9"/>
      <c r="Z93" s="9"/>
      <c r="AA93" s="9"/>
      <c r="AB93" s="9"/>
      <c r="AC93" s="9"/>
      <c r="AD93" s="35" t="s">
        <v>465</v>
      </c>
      <c r="AE93" s="35" t="s">
        <v>466</v>
      </c>
      <c r="AF93" s="9"/>
      <c r="AG93" s="9"/>
      <c r="AH93" s="9"/>
      <c r="AI93" s="9"/>
      <c r="AJ93" s="9"/>
      <c r="AK93" s="9"/>
      <c r="AL93" s="12">
        <v>3413.0</v>
      </c>
      <c r="AM93" s="12" t="s">
        <v>519</v>
      </c>
      <c r="AN93" s="45" t="s">
        <v>49</v>
      </c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112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</row>
    <row r="94" ht="15.0" customHeight="1">
      <c r="A94" s="9"/>
      <c r="B94" s="22" t="s">
        <v>609</v>
      </c>
      <c r="C94" s="24">
        <v>62.779</v>
      </c>
      <c r="D94" s="16"/>
      <c r="E94" s="35" t="s">
        <v>610</v>
      </c>
      <c r="F94" s="35" t="s">
        <v>611</v>
      </c>
      <c r="G94" s="44"/>
      <c r="H94" s="9"/>
      <c r="I94" s="35" t="s">
        <v>612</v>
      </c>
      <c r="J94" s="35" t="s">
        <v>613</v>
      </c>
      <c r="K94" s="9"/>
      <c r="L94" s="9"/>
      <c r="M94" s="12"/>
      <c r="N94" s="12"/>
      <c r="O94" s="9"/>
      <c r="P94" s="9"/>
      <c r="Q94" s="35" t="s">
        <v>478</v>
      </c>
      <c r="R94" s="35" t="s">
        <v>479</v>
      </c>
      <c r="S94" s="62"/>
      <c r="T94" s="35" t="s">
        <v>610</v>
      </c>
      <c r="U94" s="35" t="s">
        <v>611</v>
      </c>
      <c r="V94" s="12"/>
      <c r="W94" s="9"/>
      <c r="X94" s="9"/>
      <c r="Y94" s="9"/>
      <c r="Z94" s="9"/>
      <c r="AA94" s="9"/>
      <c r="AB94" s="9"/>
      <c r="AC94" s="9"/>
      <c r="AD94" s="35" t="s">
        <v>469</v>
      </c>
      <c r="AE94" s="35" t="s">
        <v>470</v>
      </c>
      <c r="AF94" s="9"/>
      <c r="AG94" s="9"/>
      <c r="AH94" s="9"/>
      <c r="AI94" s="9"/>
      <c r="AJ94" s="9"/>
      <c r="AK94" s="9"/>
      <c r="AL94" s="12">
        <v>3414.0</v>
      </c>
      <c r="AM94" s="12" t="s">
        <v>614</v>
      </c>
      <c r="AN94" s="45" t="s">
        <v>49</v>
      </c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112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</row>
    <row r="95" ht="15.0" customHeight="1">
      <c r="A95" s="9"/>
      <c r="B95" s="22" t="s">
        <v>615</v>
      </c>
      <c r="C95" s="24">
        <v>62.779</v>
      </c>
      <c r="D95" s="16"/>
      <c r="E95" s="35" t="s">
        <v>616</v>
      </c>
      <c r="F95" s="35" t="s">
        <v>617</v>
      </c>
      <c r="G95" s="44"/>
      <c r="H95" s="9"/>
      <c r="I95" s="35" t="s">
        <v>618</v>
      </c>
      <c r="J95" s="35" t="s">
        <v>619</v>
      </c>
      <c r="K95" s="9"/>
      <c r="L95" s="9"/>
      <c r="M95" s="12"/>
      <c r="N95" s="12"/>
      <c r="O95" s="9"/>
      <c r="P95" s="9"/>
      <c r="Q95" s="35" t="s">
        <v>603</v>
      </c>
      <c r="R95" s="35" t="s">
        <v>559</v>
      </c>
      <c r="S95" s="62"/>
      <c r="T95" s="35" t="s">
        <v>616</v>
      </c>
      <c r="U95" s="35" t="s">
        <v>617</v>
      </c>
      <c r="V95" s="9"/>
      <c r="W95" s="9"/>
      <c r="X95" s="9"/>
      <c r="Y95" s="9"/>
      <c r="Z95" s="9"/>
      <c r="AA95" s="9"/>
      <c r="AB95" s="9"/>
      <c r="AC95" s="9"/>
      <c r="AD95" s="35" t="s">
        <v>474</v>
      </c>
      <c r="AE95" s="35" t="s">
        <v>475</v>
      </c>
      <c r="AF95" s="9"/>
      <c r="AG95" s="9"/>
      <c r="AH95" s="9"/>
      <c r="AI95" s="9"/>
      <c r="AJ95" s="9"/>
      <c r="AK95" s="9"/>
      <c r="AL95" s="12">
        <v>3415.0</v>
      </c>
      <c r="AM95" s="12" t="s">
        <v>524</v>
      </c>
      <c r="AN95" s="45" t="s">
        <v>49</v>
      </c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112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</row>
    <row r="96" ht="15.0" customHeight="1">
      <c r="A96" s="9"/>
      <c r="B96" s="22" t="s">
        <v>620</v>
      </c>
      <c r="C96" s="24">
        <v>56.336</v>
      </c>
      <c r="D96" s="16"/>
      <c r="E96" s="35" t="s">
        <v>621</v>
      </c>
      <c r="F96" s="35" t="s">
        <v>622</v>
      </c>
      <c r="G96" s="44"/>
      <c r="H96" s="9"/>
      <c r="I96" s="35" t="s">
        <v>623</v>
      </c>
      <c r="J96" s="35" t="s">
        <v>624</v>
      </c>
      <c r="K96" s="9"/>
      <c r="L96" s="9"/>
      <c r="M96" s="12"/>
      <c r="N96" s="12"/>
      <c r="O96" s="9"/>
      <c r="P96" s="9"/>
      <c r="Q96" s="35" t="s">
        <v>482</v>
      </c>
      <c r="R96" s="35" t="s">
        <v>483</v>
      </c>
      <c r="S96" s="62"/>
      <c r="T96" s="35" t="s">
        <v>621</v>
      </c>
      <c r="U96" s="35" t="s">
        <v>622</v>
      </c>
      <c r="V96" s="9"/>
      <c r="W96" s="9"/>
      <c r="X96" s="9"/>
      <c r="Y96" s="9"/>
      <c r="Z96" s="9"/>
      <c r="AA96" s="9"/>
      <c r="AB96" s="9"/>
      <c r="AC96" s="9"/>
      <c r="AD96" s="35" t="s">
        <v>478</v>
      </c>
      <c r="AE96" s="35" t="s">
        <v>479</v>
      </c>
      <c r="AF96" s="9"/>
      <c r="AG96" s="9"/>
      <c r="AH96" s="9"/>
      <c r="AI96" s="9"/>
      <c r="AJ96" s="9"/>
      <c r="AK96" s="9"/>
      <c r="AL96" s="12">
        <v>3416.0</v>
      </c>
      <c r="AM96" s="12" t="s">
        <v>529</v>
      </c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112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</row>
    <row r="97" ht="15.0" customHeight="1">
      <c r="A97" s="9"/>
      <c r="B97" s="22" t="s">
        <v>625</v>
      </c>
      <c r="C97" s="24">
        <v>56.336</v>
      </c>
      <c r="D97" s="16"/>
      <c r="E97" s="35" t="s">
        <v>626</v>
      </c>
      <c r="F97" s="35" t="s">
        <v>627</v>
      </c>
      <c r="G97" s="44"/>
      <c r="H97" s="9"/>
      <c r="I97" s="35" t="s">
        <v>628</v>
      </c>
      <c r="J97" s="35" t="s">
        <v>629</v>
      </c>
      <c r="K97" s="9"/>
      <c r="L97" s="9"/>
      <c r="M97" s="12"/>
      <c r="N97" s="12"/>
      <c r="O97" s="9"/>
      <c r="P97" s="9"/>
      <c r="Q97" s="35" t="s">
        <v>610</v>
      </c>
      <c r="R97" s="35" t="s">
        <v>611</v>
      </c>
      <c r="S97" s="62"/>
      <c r="T97" s="35" t="s">
        <v>626</v>
      </c>
      <c r="U97" s="35" t="s">
        <v>627</v>
      </c>
      <c r="V97" s="9"/>
      <c r="W97" s="9"/>
      <c r="X97" s="9"/>
      <c r="Y97" s="9"/>
      <c r="Z97" s="9"/>
      <c r="AA97" s="9"/>
      <c r="AB97" s="9"/>
      <c r="AC97" s="9"/>
      <c r="AD97" s="35" t="s">
        <v>603</v>
      </c>
      <c r="AE97" s="35" t="s">
        <v>559</v>
      </c>
      <c r="AF97" s="9"/>
      <c r="AG97" s="9"/>
      <c r="AH97" s="9"/>
      <c r="AI97" s="9"/>
      <c r="AJ97" s="9"/>
      <c r="AK97" s="9"/>
      <c r="AL97" s="12">
        <v>3417.0</v>
      </c>
      <c r="AM97" s="12" t="s">
        <v>534</v>
      </c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112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</row>
    <row r="98" ht="15.0" customHeight="1">
      <c r="A98" s="9"/>
      <c r="B98" s="22" t="s">
        <v>630</v>
      </c>
      <c r="C98" s="24">
        <v>56.336</v>
      </c>
      <c r="D98" s="16"/>
      <c r="E98" s="35" t="s">
        <v>631</v>
      </c>
      <c r="F98" s="35" t="s">
        <v>632</v>
      </c>
      <c r="G98" s="44"/>
      <c r="H98" s="9"/>
      <c r="I98" s="35" t="s">
        <v>633</v>
      </c>
      <c r="J98" s="35" t="s">
        <v>634</v>
      </c>
      <c r="K98" s="9"/>
      <c r="L98" s="9"/>
      <c r="M98" s="12"/>
      <c r="N98" s="12"/>
      <c r="O98" s="9"/>
      <c r="P98" s="9"/>
      <c r="Q98" s="35" t="s">
        <v>616</v>
      </c>
      <c r="R98" s="35" t="s">
        <v>617</v>
      </c>
      <c r="S98" s="62"/>
      <c r="T98" s="35" t="s">
        <v>631</v>
      </c>
      <c r="U98" s="35" t="s">
        <v>632</v>
      </c>
      <c r="V98" s="9"/>
      <c r="W98" s="9"/>
      <c r="X98" s="9"/>
      <c r="Y98" s="9"/>
      <c r="Z98" s="9"/>
      <c r="AA98" s="9"/>
      <c r="AB98" s="9"/>
      <c r="AC98" s="9"/>
      <c r="AD98" s="35" t="s">
        <v>482</v>
      </c>
      <c r="AE98" s="35" t="s">
        <v>483</v>
      </c>
      <c r="AF98" s="9"/>
      <c r="AG98" s="9"/>
      <c r="AH98" s="9"/>
      <c r="AI98" s="9"/>
      <c r="AJ98" s="9"/>
      <c r="AK98" s="9"/>
      <c r="AL98" s="12">
        <v>3418.0</v>
      </c>
      <c r="AM98" s="12" t="s">
        <v>539</v>
      </c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112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</row>
    <row r="99" ht="15.0" customHeight="1">
      <c r="A99" s="9"/>
      <c r="B99" s="22" t="s">
        <v>635</v>
      </c>
      <c r="C99" s="24">
        <v>54.996</v>
      </c>
      <c r="D99" s="16"/>
      <c r="E99" s="35" t="s">
        <v>488</v>
      </c>
      <c r="F99" s="35" t="s">
        <v>489</v>
      </c>
      <c r="G99" s="44"/>
      <c r="H99" s="9"/>
      <c r="I99" s="35" t="s">
        <v>636</v>
      </c>
      <c r="J99" s="35" t="s">
        <v>637</v>
      </c>
      <c r="K99" s="9"/>
      <c r="L99" s="9"/>
      <c r="M99" s="12"/>
      <c r="N99" s="12"/>
      <c r="O99" s="9"/>
      <c r="P99" s="9"/>
      <c r="Q99" s="35" t="s">
        <v>621</v>
      </c>
      <c r="R99" s="35" t="s">
        <v>622</v>
      </c>
      <c r="S99" s="62"/>
      <c r="T99" s="35" t="s">
        <v>488</v>
      </c>
      <c r="U99" s="35" t="s">
        <v>489</v>
      </c>
      <c r="V99" s="9"/>
      <c r="W99" s="9"/>
      <c r="X99" s="9"/>
      <c r="Y99" s="9"/>
      <c r="Z99" s="9"/>
      <c r="AA99" s="9"/>
      <c r="AB99" s="9"/>
      <c r="AC99" s="9"/>
      <c r="AD99" s="35" t="s">
        <v>610</v>
      </c>
      <c r="AE99" s="35" t="s">
        <v>611</v>
      </c>
      <c r="AF99" s="9"/>
      <c r="AG99" s="9"/>
      <c r="AH99" s="9"/>
      <c r="AI99" s="9"/>
      <c r="AJ99" s="9"/>
      <c r="AK99" s="9"/>
      <c r="AL99" s="12">
        <v>3419.0</v>
      </c>
      <c r="AM99" s="12" t="s">
        <v>545</v>
      </c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112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</row>
    <row r="100" ht="15.0" customHeight="1">
      <c r="A100" s="9"/>
      <c r="B100" s="22" t="s">
        <v>638</v>
      </c>
      <c r="C100" s="24">
        <v>54.996</v>
      </c>
      <c r="D100" s="16"/>
      <c r="E100" s="35" t="s">
        <v>494</v>
      </c>
      <c r="F100" s="35" t="s">
        <v>495</v>
      </c>
      <c r="G100" s="44"/>
      <c r="H100" s="9"/>
      <c r="I100" s="35" t="s">
        <v>639</v>
      </c>
      <c r="J100" s="35" t="s">
        <v>640</v>
      </c>
      <c r="K100" s="9"/>
      <c r="L100" s="9"/>
      <c r="M100" s="12"/>
      <c r="N100" s="12"/>
      <c r="O100" s="9"/>
      <c r="P100" s="9"/>
      <c r="Q100" s="35" t="s">
        <v>626</v>
      </c>
      <c r="R100" s="35" t="s">
        <v>627</v>
      </c>
      <c r="S100" s="62"/>
      <c r="T100" s="35" t="s">
        <v>494</v>
      </c>
      <c r="U100" s="35" t="s">
        <v>495</v>
      </c>
      <c r="V100" s="9"/>
      <c r="W100" s="9"/>
      <c r="X100" s="9"/>
      <c r="Y100" s="9"/>
      <c r="Z100" s="9"/>
      <c r="AA100" s="9"/>
      <c r="AB100" s="9"/>
      <c r="AC100" s="9"/>
      <c r="AD100" s="35" t="s">
        <v>616</v>
      </c>
      <c r="AE100" s="35" t="s">
        <v>617</v>
      </c>
      <c r="AF100" s="9"/>
      <c r="AG100" s="9"/>
      <c r="AH100" s="9"/>
      <c r="AI100" s="9"/>
      <c r="AJ100" s="9"/>
      <c r="AK100" s="9"/>
      <c r="AL100" s="12">
        <v>3420.0</v>
      </c>
      <c r="AM100" s="12" t="s">
        <v>550</v>
      </c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112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</row>
    <row r="101" ht="15.0" customHeight="1">
      <c r="A101" s="9"/>
      <c r="B101" s="22" t="s">
        <v>641</v>
      </c>
      <c r="C101" s="24">
        <v>54.996</v>
      </c>
      <c r="D101" s="16"/>
      <c r="E101" s="35" t="s">
        <v>500</v>
      </c>
      <c r="F101" s="35" t="s">
        <v>501</v>
      </c>
      <c r="G101" s="44"/>
      <c r="H101" s="9"/>
      <c r="I101" s="35" t="s">
        <v>642</v>
      </c>
      <c r="J101" s="35" t="s">
        <v>643</v>
      </c>
      <c r="K101" s="9"/>
      <c r="L101" s="9"/>
      <c r="M101" s="12"/>
      <c r="N101" s="12"/>
      <c r="O101" s="9"/>
      <c r="P101" s="9"/>
      <c r="Q101" s="35" t="s">
        <v>631</v>
      </c>
      <c r="R101" s="35" t="s">
        <v>632</v>
      </c>
      <c r="S101" s="62"/>
      <c r="T101" s="35" t="s">
        <v>500</v>
      </c>
      <c r="U101" s="35" t="s">
        <v>501</v>
      </c>
      <c r="V101" s="9"/>
      <c r="W101" s="9"/>
      <c r="X101" s="9"/>
      <c r="Y101" s="9"/>
      <c r="Z101" s="9"/>
      <c r="AA101" s="9"/>
      <c r="AB101" s="9"/>
      <c r="AC101" s="9"/>
      <c r="AD101" s="35" t="s">
        <v>621</v>
      </c>
      <c r="AE101" s="35" t="s">
        <v>622</v>
      </c>
      <c r="AF101" s="9"/>
      <c r="AG101" s="9"/>
      <c r="AH101" s="9"/>
      <c r="AI101" s="9"/>
      <c r="AJ101" s="9"/>
      <c r="AK101" s="9"/>
      <c r="AL101" s="12">
        <v>3421.0</v>
      </c>
      <c r="AM101" s="12" t="s">
        <v>555</v>
      </c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112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</row>
    <row r="102" ht="15.0" customHeight="1">
      <c r="A102" s="9"/>
      <c r="B102" s="22" t="s">
        <v>644</v>
      </c>
      <c r="C102" s="24">
        <v>54.996</v>
      </c>
      <c r="D102" s="16"/>
      <c r="E102" s="35" t="s">
        <v>504</v>
      </c>
      <c r="F102" s="35" t="s">
        <v>505</v>
      </c>
      <c r="G102" s="44"/>
      <c r="H102" s="9"/>
      <c r="I102" s="35" t="s">
        <v>645</v>
      </c>
      <c r="J102" s="35" t="s">
        <v>646</v>
      </c>
      <c r="K102" s="9"/>
      <c r="L102" s="9"/>
      <c r="M102" s="12"/>
      <c r="N102" s="12"/>
      <c r="O102" s="9"/>
      <c r="P102" s="9"/>
      <c r="Q102" s="35" t="s">
        <v>488</v>
      </c>
      <c r="R102" s="35" t="s">
        <v>489</v>
      </c>
      <c r="S102" s="62"/>
      <c r="T102" s="35" t="s">
        <v>504</v>
      </c>
      <c r="U102" s="35" t="s">
        <v>505</v>
      </c>
      <c r="V102" s="9"/>
      <c r="W102" s="9"/>
      <c r="X102" s="9"/>
      <c r="Y102" s="9"/>
      <c r="Z102" s="9"/>
      <c r="AA102" s="9"/>
      <c r="AB102" s="9"/>
      <c r="AC102" s="9"/>
      <c r="AD102" s="35" t="s">
        <v>626</v>
      </c>
      <c r="AE102" s="35" t="s">
        <v>627</v>
      </c>
      <c r="AF102" s="9"/>
      <c r="AG102" s="9"/>
      <c r="AH102" s="9"/>
      <c r="AI102" s="9"/>
      <c r="AJ102" s="9"/>
      <c r="AK102" s="9"/>
      <c r="AL102" s="12">
        <v>3450.0</v>
      </c>
      <c r="AM102" s="12" t="s">
        <v>619</v>
      </c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112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</row>
    <row r="103" ht="15.0" customHeight="1">
      <c r="A103" s="9"/>
      <c r="B103" s="22" t="s">
        <v>647</v>
      </c>
      <c r="C103" s="24">
        <v>81.49</v>
      </c>
      <c r="D103" s="16"/>
      <c r="E103" s="35" t="s">
        <v>509</v>
      </c>
      <c r="F103" s="35" t="s">
        <v>510</v>
      </c>
      <c r="G103" s="44"/>
      <c r="H103" s="9"/>
      <c r="I103" s="35" t="s">
        <v>648</v>
      </c>
      <c r="J103" s="35" t="s">
        <v>273</v>
      </c>
      <c r="K103" s="9"/>
      <c r="L103" s="9"/>
      <c r="M103" s="12"/>
      <c r="N103" s="12"/>
      <c r="O103" s="9"/>
      <c r="P103" s="9"/>
      <c r="Q103" s="35" t="s">
        <v>494</v>
      </c>
      <c r="R103" s="35" t="s">
        <v>495</v>
      </c>
      <c r="S103" s="62"/>
      <c r="T103" s="35" t="s">
        <v>509</v>
      </c>
      <c r="U103" s="35" t="s">
        <v>510</v>
      </c>
      <c r="V103" s="9"/>
      <c r="W103" s="9"/>
      <c r="X103" s="9"/>
      <c r="Y103" s="9"/>
      <c r="Z103" s="9"/>
      <c r="AA103" s="9"/>
      <c r="AB103" s="9"/>
      <c r="AC103" s="9"/>
      <c r="AD103" s="35" t="s">
        <v>631</v>
      </c>
      <c r="AE103" s="35" t="s">
        <v>632</v>
      </c>
      <c r="AF103" s="9"/>
      <c r="AG103" s="9"/>
      <c r="AH103" s="9"/>
      <c r="AI103" s="9"/>
      <c r="AJ103" s="9"/>
      <c r="AK103" s="9"/>
      <c r="AL103" s="12">
        <v>3451.0</v>
      </c>
      <c r="AM103" s="12" t="s">
        <v>624</v>
      </c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112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</row>
    <row r="104" ht="15.0" customHeight="1">
      <c r="A104" s="9"/>
      <c r="B104" s="22" t="s">
        <v>649</v>
      </c>
      <c r="C104" s="24">
        <v>81.49</v>
      </c>
      <c r="D104" s="16"/>
      <c r="E104" s="35" t="s">
        <v>650</v>
      </c>
      <c r="F104" s="35" t="s">
        <v>651</v>
      </c>
      <c r="G104" s="44"/>
      <c r="H104" s="9"/>
      <c r="I104" s="35" t="s">
        <v>652</v>
      </c>
      <c r="J104" s="35" t="s">
        <v>281</v>
      </c>
      <c r="K104" s="9"/>
      <c r="L104" s="9"/>
      <c r="M104" s="12"/>
      <c r="N104" s="12"/>
      <c r="O104" s="9"/>
      <c r="P104" s="9"/>
      <c r="Q104" s="35" t="s">
        <v>500</v>
      </c>
      <c r="R104" s="35" t="s">
        <v>501</v>
      </c>
      <c r="S104" s="62"/>
      <c r="T104" s="35" t="s">
        <v>650</v>
      </c>
      <c r="U104" s="35" t="s">
        <v>651</v>
      </c>
      <c r="V104" s="9"/>
      <c r="W104" s="9"/>
      <c r="X104" s="9"/>
      <c r="Y104" s="9"/>
      <c r="Z104" s="9"/>
      <c r="AA104" s="9"/>
      <c r="AB104" s="9"/>
      <c r="AC104" s="9"/>
      <c r="AD104" s="35" t="s">
        <v>488</v>
      </c>
      <c r="AE104" s="35" t="s">
        <v>489</v>
      </c>
      <c r="AF104" s="9"/>
      <c r="AG104" s="9"/>
      <c r="AH104" s="9"/>
      <c r="AI104" s="9"/>
      <c r="AJ104" s="9"/>
      <c r="AK104" s="9"/>
      <c r="AL104" s="12">
        <v>3452.0</v>
      </c>
      <c r="AM104" s="12" t="s">
        <v>629</v>
      </c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112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</row>
    <row r="105" ht="15.0" customHeight="1">
      <c r="A105" s="9"/>
      <c r="B105" s="22" t="s">
        <v>653</v>
      </c>
      <c r="C105" s="24">
        <v>81.49</v>
      </c>
      <c r="D105" s="16"/>
      <c r="E105" s="35" t="s">
        <v>654</v>
      </c>
      <c r="F105" s="35" t="s">
        <v>655</v>
      </c>
      <c r="G105" s="44"/>
      <c r="H105" s="9"/>
      <c r="I105" s="35" t="s">
        <v>656</v>
      </c>
      <c r="J105" s="35" t="s">
        <v>657</v>
      </c>
      <c r="K105" s="9"/>
      <c r="L105" s="9"/>
      <c r="M105" s="12"/>
      <c r="N105" s="12"/>
      <c r="O105" s="9"/>
      <c r="P105" s="9"/>
      <c r="Q105" s="35" t="s">
        <v>504</v>
      </c>
      <c r="R105" s="35" t="s">
        <v>505</v>
      </c>
      <c r="S105" s="62"/>
      <c r="T105" s="35" t="s">
        <v>654</v>
      </c>
      <c r="U105" s="35" t="s">
        <v>655</v>
      </c>
      <c r="V105" s="9"/>
      <c r="W105" s="9"/>
      <c r="X105" s="9"/>
      <c r="Y105" s="9"/>
      <c r="Z105" s="9"/>
      <c r="AA105" s="9"/>
      <c r="AB105" s="9"/>
      <c r="AC105" s="9"/>
      <c r="AD105" s="35" t="s">
        <v>494</v>
      </c>
      <c r="AE105" s="35" t="s">
        <v>495</v>
      </c>
      <c r="AF105" s="9"/>
      <c r="AG105" s="9"/>
      <c r="AH105" s="9"/>
      <c r="AI105" s="9"/>
      <c r="AJ105" s="9"/>
      <c r="AK105" s="9"/>
      <c r="AL105" s="12">
        <v>3453.0</v>
      </c>
      <c r="AM105" s="12" t="s">
        <v>634</v>
      </c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112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</row>
    <row r="106" ht="15.0" customHeight="1">
      <c r="A106" s="9"/>
      <c r="B106" s="22" t="s">
        <v>658</v>
      </c>
      <c r="C106" s="24">
        <v>81.49</v>
      </c>
      <c r="D106" s="16"/>
      <c r="E106" s="35" t="s">
        <v>514</v>
      </c>
      <c r="F106" s="35" t="s">
        <v>515</v>
      </c>
      <c r="G106" s="44"/>
      <c r="H106" s="9"/>
      <c r="I106" s="35" t="s">
        <v>659</v>
      </c>
      <c r="J106" s="35" t="s">
        <v>660</v>
      </c>
      <c r="K106" s="10"/>
      <c r="L106" s="9"/>
      <c r="M106" s="12"/>
      <c r="N106" s="12"/>
      <c r="O106" s="9"/>
      <c r="P106" s="9"/>
      <c r="Q106" s="35" t="s">
        <v>509</v>
      </c>
      <c r="R106" s="35" t="s">
        <v>510</v>
      </c>
      <c r="S106" s="62"/>
      <c r="T106" s="35" t="s">
        <v>514</v>
      </c>
      <c r="U106" s="35" t="s">
        <v>515</v>
      </c>
      <c r="V106" s="9"/>
      <c r="W106" s="9"/>
      <c r="X106" s="9"/>
      <c r="Y106" s="9"/>
      <c r="Z106" s="9"/>
      <c r="AA106" s="9"/>
      <c r="AB106" s="9"/>
      <c r="AC106" s="9"/>
      <c r="AD106" s="35" t="s">
        <v>500</v>
      </c>
      <c r="AE106" s="35" t="s">
        <v>501</v>
      </c>
      <c r="AF106" s="9"/>
      <c r="AG106" s="9"/>
      <c r="AH106" s="9"/>
      <c r="AI106" s="9"/>
      <c r="AJ106" s="9"/>
      <c r="AK106" s="9"/>
      <c r="AL106" s="12">
        <v>3454.0</v>
      </c>
      <c r="AM106" s="12" t="s">
        <v>637</v>
      </c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112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</row>
    <row r="107" ht="15.0" customHeight="1">
      <c r="A107" s="9"/>
      <c r="B107" s="22" t="s">
        <v>661</v>
      </c>
      <c r="C107" s="24">
        <v>56.336</v>
      </c>
      <c r="D107" s="90"/>
      <c r="E107" s="35" t="s">
        <v>518</v>
      </c>
      <c r="F107" s="35" t="s">
        <v>519</v>
      </c>
      <c r="G107" s="44"/>
      <c r="H107" s="9"/>
      <c r="I107" s="35" t="s">
        <v>662</v>
      </c>
      <c r="J107" s="35" t="s">
        <v>289</v>
      </c>
      <c r="K107" s="10"/>
      <c r="L107" s="9"/>
      <c r="M107" s="12"/>
      <c r="N107" s="12"/>
      <c r="O107" s="9"/>
      <c r="P107" s="9"/>
      <c r="Q107" s="35" t="s">
        <v>650</v>
      </c>
      <c r="R107" s="35" t="s">
        <v>651</v>
      </c>
      <c r="S107" s="62"/>
      <c r="T107" s="35" t="s">
        <v>518</v>
      </c>
      <c r="U107" s="35" t="s">
        <v>519</v>
      </c>
      <c r="V107" s="9"/>
      <c r="W107" s="9"/>
      <c r="X107" s="9"/>
      <c r="Y107" s="9"/>
      <c r="Z107" s="9"/>
      <c r="AA107" s="9"/>
      <c r="AB107" s="9"/>
      <c r="AC107" s="9"/>
      <c r="AD107" s="35" t="s">
        <v>504</v>
      </c>
      <c r="AE107" s="35" t="s">
        <v>505</v>
      </c>
      <c r="AF107" s="9"/>
      <c r="AG107" s="9"/>
      <c r="AH107" s="9"/>
      <c r="AI107" s="9"/>
      <c r="AJ107" s="9"/>
      <c r="AK107" s="9"/>
      <c r="AL107" s="12">
        <v>3455.0</v>
      </c>
      <c r="AM107" s="12" t="s">
        <v>640</v>
      </c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112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</row>
    <row r="108" ht="15.0" customHeight="1">
      <c r="A108" s="9"/>
      <c r="B108" s="22" t="s">
        <v>56</v>
      </c>
      <c r="C108" s="24" t="s">
        <v>56</v>
      </c>
      <c r="D108" s="90"/>
      <c r="E108" s="35" t="s">
        <v>523</v>
      </c>
      <c r="F108" s="35" t="s">
        <v>524</v>
      </c>
      <c r="G108" s="44"/>
      <c r="H108" s="9"/>
      <c r="I108" s="35" t="s">
        <v>663</v>
      </c>
      <c r="J108" s="35" t="s">
        <v>297</v>
      </c>
      <c r="K108" s="10"/>
      <c r="L108" s="9"/>
      <c r="M108" s="12"/>
      <c r="N108" s="12"/>
      <c r="O108" s="9"/>
      <c r="P108" s="9"/>
      <c r="Q108" s="35" t="s">
        <v>654</v>
      </c>
      <c r="R108" s="35" t="s">
        <v>655</v>
      </c>
      <c r="S108" s="62"/>
      <c r="T108" s="35" t="s">
        <v>523</v>
      </c>
      <c r="U108" s="35" t="s">
        <v>524</v>
      </c>
      <c r="V108" s="9"/>
      <c r="W108" s="9"/>
      <c r="X108" s="9"/>
      <c r="Y108" s="9"/>
      <c r="Z108" s="9"/>
      <c r="AA108" s="9"/>
      <c r="AB108" s="9"/>
      <c r="AC108" s="9"/>
      <c r="AD108" s="35" t="s">
        <v>509</v>
      </c>
      <c r="AE108" s="35" t="s">
        <v>510</v>
      </c>
      <c r="AF108" s="9"/>
      <c r="AG108" s="9"/>
      <c r="AH108" s="9"/>
      <c r="AI108" s="9"/>
      <c r="AJ108" s="9"/>
      <c r="AK108" s="9"/>
      <c r="AL108" s="12">
        <v>3482.0</v>
      </c>
      <c r="AM108" s="12" t="s">
        <v>664</v>
      </c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112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</row>
    <row r="109" ht="15.0" customHeight="1">
      <c r="A109" s="9"/>
      <c r="B109" s="22" t="s">
        <v>665</v>
      </c>
      <c r="C109" s="24">
        <v>31.195</v>
      </c>
      <c r="D109" s="90"/>
      <c r="E109" s="35" t="s">
        <v>528</v>
      </c>
      <c r="F109" s="35" t="s">
        <v>529</v>
      </c>
      <c r="G109" s="117">
        <v>4.0</v>
      </c>
      <c r="H109" s="9"/>
      <c r="I109" s="35" t="s">
        <v>666</v>
      </c>
      <c r="J109" s="35" t="s">
        <v>360</v>
      </c>
      <c r="K109" s="10"/>
      <c r="L109" s="9"/>
      <c r="M109" s="12"/>
      <c r="N109" s="12"/>
      <c r="O109" s="9"/>
      <c r="P109" s="9"/>
      <c r="Q109" s="35" t="s">
        <v>514</v>
      </c>
      <c r="R109" s="35" t="s">
        <v>515</v>
      </c>
      <c r="S109" s="62"/>
      <c r="T109" s="35" t="s">
        <v>528</v>
      </c>
      <c r="U109" s="35" t="s">
        <v>529</v>
      </c>
      <c r="V109" s="9"/>
      <c r="W109" s="9"/>
      <c r="X109" s="9"/>
      <c r="Y109" s="9"/>
      <c r="Z109" s="9"/>
      <c r="AA109" s="9"/>
      <c r="AB109" s="9"/>
      <c r="AC109" s="9"/>
      <c r="AD109" s="35" t="s">
        <v>650</v>
      </c>
      <c r="AE109" s="35" t="s">
        <v>651</v>
      </c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112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</row>
    <row r="110" ht="15.0" customHeight="1">
      <c r="A110" s="9"/>
      <c r="B110" s="22" t="s">
        <v>667</v>
      </c>
      <c r="C110" s="24">
        <v>27.729</v>
      </c>
      <c r="D110" s="90"/>
      <c r="E110" s="35" t="s">
        <v>533</v>
      </c>
      <c r="F110" s="35" t="s">
        <v>534</v>
      </c>
      <c r="G110" s="117">
        <v>4.0</v>
      </c>
      <c r="H110" s="9"/>
      <c r="I110" s="35" t="s">
        <v>668</v>
      </c>
      <c r="J110" s="35" t="s">
        <v>306</v>
      </c>
      <c r="K110" s="10"/>
      <c r="L110" s="9"/>
      <c r="M110" s="12"/>
      <c r="N110" s="12"/>
      <c r="O110" s="9"/>
      <c r="P110" s="9"/>
      <c r="Q110" s="35" t="s">
        <v>518</v>
      </c>
      <c r="R110" s="35" t="s">
        <v>519</v>
      </c>
      <c r="S110" s="62"/>
      <c r="T110" s="35" t="s">
        <v>533</v>
      </c>
      <c r="U110" s="35" t="s">
        <v>534</v>
      </c>
      <c r="V110" s="9"/>
      <c r="W110" s="9"/>
      <c r="X110" s="9"/>
      <c r="Y110" s="9"/>
      <c r="Z110" s="9"/>
      <c r="AA110" s="9"/>
      <c r="AB110" s="9"/>
      <c r="AC110" s="9"/>
      <c r="AD110" s="35" t="s">
        <v>654</v>
      </c>
      <c r="AE110" s="35" t="s">
        <v>655</v>
      </c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112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</row>
    <row r="111" ht="15.0" customHeight="1">
      <c r="A111" s="9"/>
      <c r="B111" s="22" t="s">
        <v>669</v>
      </c>
      <c r="C111" s="24">
        <v>27.327</v>
      </c>
      <c r="D111" s="90"/>
      <c r="E111" s="35" t="s">
        <v>538</v>
      </c>
      <c r="F111" s="35" t="s">
        <v>539</v>
      </c>
      <c r="G111" s="117">
        <v>4.0</v>
      </c>
      <c r="H111" s="9"/>
      <c r="I111" s="35" t="s">
        <v>670</v>
      </c>
      <c r="J111" s="35" t="s">
        <v>314</v>
      </c>
      <c r="K111" s="10"/>
      <c r="L111" s="9"/>
      <c r="M111" s="12"/>
      <c r="N111" s="12"/>
      <c r="O111" s="9"/>
      <c r="P111" s="9"/>
      <c r="Q111" s="35" t="s">
        <v>523</v>
      </c>
      <c r="R111" s="35" t="s">
        <v>524</v>
      </c>
      <c r="S111" s="62"/>
      <c r="T111" s="35" t="s">
        <v>538</v>
      </c>
      <c r="U111" s="35" t="s">
        <v>539</v>
      </c>
      <c r="V111" s="9"/>
      <c r="W111" s="9"/>
      <c r="X111" s="9"/>
      <c r="Y111" s="9"/>
      <c r="Z111" s="9"/>
      <c r="AA111" s="9"/>
      <c r="AB111" s="9"/>
      <c r="AC111" s="9"/>
      <c r="AD111" s="35" t="s">
        <v>514</v>
      </c>
      <c r="AE111" s="35" t="s">
        <v>515</v>
      </c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112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</row>
    <row r="112" ht="15.0" customHeight="1">
      <c r="A112" s="9"/>
      <c r="B112" s="22" t="s">
        <v>671</v>
      </c>
      <c r="C112" s="24">
        <v>36.746</v>
      </c>
      <c r="D112" s="90"/>
      <c r="E112" s="35" t="s">
        <v>544</v>
      </c>
      <c r="F112" s="35" t="s">
        <v>545</v>
      </c>
      <c r="G112" s="117">
        <v>4.0</v>
      </c>
      <c r="H112" s="9"/>
      <c r="I112" s="35" t="s">
        <v>672</v>
      </c>
      <c r="J112" s="35" t="s">
        <v>321</v>
      </c>
      <c r="K112" s="10"/>
      <c r="L112" s="9"/>
      <c r="M112" s="12"/>
      <c r="N112" s="12"/>
      <c r="O112" s="9"/>
      <c r="P112" s="9"/>
      <c r="Q112" s="35" t="s">
        <v>528</v>
      </c>
      <c r="R112" s="35" t="s">
        <v>529</v>
      </c>
      <c r="S112" s="62"/>
      <c r="T112" s="35" t="s">
        <v>544</v>
      </c>
      <c r="U112" s="35" t="s">
        <v>545</v>
      </c>
      <c r="V112" s="9"/>
      <c r="W112" s="9"/>
      <c r="X112" s="9"/>
      <c r="Y112" s="9"/>
      <c r="Z112" s="9"/>
      <c r="AA112" s="9"/>
      <c r="AB112" s="9"/>
      <c r="AC112" s="9"/>
      <c r="AD112" s="35" t="s">
        <v>518</v>
      </c>
      <c r="AE112" s="35" t="s">
        <v>519</v>
      </c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112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</row>
    <row r="113" ht="15.0" customHeight="1">
      <c r="A113" s="9"/>
      <c r="B113" s="22" t="s">
        <v>673</v>
      </c>
      <c r="C113" s="24">
        <v>32.663</v>
      </c>
      <c r="D113" s="90"/>
      <c r="E113" s="35" t="s">
        <v>549</v>
      </c>
      <c r="F113" s="35" t="s">
        <v>550</v>
      </c>
      <c r="G113" s="117">
        <v>4.0</v>
      </c>
      <c r="H113" s="9"/>
      <c r="I113" s="35" t="s">
        <v>674</v>
      </c>
      <c r="J113" s="35" t="s">
        <v>332</v>
      </c>
      <c r="K113" s="10"/>
      <c r="L113" s="9"/>
      <c r="M113" s="12"/>
      <c r="N113" s="12"/>
      <c r="O113" s="9"/>
      <c r="P113" s="9"/>
      <c r="Q113" s="35" t="s">
        <v>533</v>
      </c>
      <c r="R113" s="35" t="s">
        <v>534</v>
      </c>
      <c r="S113" s="62"/>
      <c r="T113" s="35" t="s">
        <v>549</v>
      </c>
      <c r="U113" s="35" t="s">
        <v>550</v>
      </c>
      <c r="V113" s="9"/>
      <c r="W113" s="9"/>
      <c r="X113" s="9"/>
      <c r="Y113" s="9"/>
      <c r="Z113" s="9"/>
      <c r="AA113" s="9"/>
      <c r="AB113" s="9"/>
      <c r="AC113" s="9"/>
      <c r="AD113" s="35" t="s">
        <v>523</v>
      </c>
      <c r="AE113" s="35" t="s">
        <v>524</v>
      </c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112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</row>
    <row r="114" ht="15.0" customHeight="1">
      <c r="A114" s="9"/>
      <c r="B114" s="22" t="s">
        <v>675</v>
      </c>
      <c r="C114" s="24">
        <v>40.086</v>
      </c>
      <c r="D114" s="90"/>
      <c r="E114" s="35" t="s">
        <v>554</v>
      </c>
      <c r="F114" s="35" t="s">
        <v>555</v>
      </c>
      <c r="G114" s="117">
        <v>4.0</v>
      </c>
      <c r="H114" s="9"/>
      <c r="I114" s="35" t="s">
        <v>676</v>
      </c>
      <c r="J114" s="35" t="s">
        <v>677</v>
      </c>
      <c r="K114" s="10"/>
      <c r="L114" s="9"/>
      <c r="M114" s="12"/>
      <c r="N114" s="12"/>
      <c r="O114" s="9"/>
      <c r="P114" s="9"/>
      <c r="Q114" s="35" t="s">
        <v>538</v>
      </c>
      <c r="R114" s="35" t="s">
        <v>539</v>
      </c>
      <c r="S114" s="62"/>
      <c r="T114" s="35" t="s">
        <v>554</v>
      </c>
      <c r="U114" s="35" t="s">
        <v>555</v>
      </c>
      <c r="V114" s="9"/>
      <c r="W114" s="9"/>
      <c r="X114" s="9"/>
      <c r="Y114" s="9"/>
      <c r="Z114" s="9"/>
      <c r="AA114" s="9"/>
      <c r="AB114" s="9"/>
      <c r="AC114" s="9"/>
      <c r="AD114" s="35" t="s">
        <v>528</v>
      </c>
      <c r="AE114" s="35" t="s">
        <v>529</v>
      </c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112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</row>
    <row r="115" ht="15.0" customHeight="1">
      <c r="A115" s="9"/>
      <c r="B115" s="22" t="s">
        <v>678</v>
      </c>
      <c r="C115" s="24">
        <v>35.632</v>
      </c>
      <c r="D115" s="90"/>
      <c r="E115" s="35" t="s">
        <v>557</v>
      </c>
      <c r="F115" s="35" t="s">
        <v>558</v>
      </c>
      <c r="G115" s="10"/>
      <c r="H115" s="9"/>
      <c r="I115" s="35" t="s">
        <v>679</v>
      </c>
      <c r="J115" s="35" t="s">
        <v>680</v>
      </c>
      <c r="K115" s="10"/>
      <c r="L115" s="9"/>
      <c r="M115" s="12"/>
      <c r="N115" s="12"/>
      <c r="O115" s="9"/>
      <c r="P115" s="9"/>
      <c r="Q115" s="35" t="s">
        <v>544</v>
      </c>
      <c r="R115" s="35" t="s">
        <v>545</v>
      </c>
      <c r="S115" s="9"/>
      <c r="T115" s="35" t="s">
        <v>557</v>
      </c>
      <c r="U115" s="35" t="s">
        <v>558</v>
      </c>
      <c r="V115" s="9"/>
      <c r="W115" s="9"/>
      <c r="X115" s="9"/>
      <c r="Y115" s="9"/>
      <c r="Z115" s="9"/>
      <c r="AA115" s="9"/>
      <c r="AB115" s="9"/>
      <c r="AC115" s="9"/>
      <c r="AD115" s="35" t="s">
        <v>533</v>
      </c>
      <c r="AE115" s="35" t="s">
        <v>534</v>
      </c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</row>
    <row r="116" ht="15.0" customHeight="1">
      <c r="A116" s="9"/>
      <c r="B116" s="22" t="s">
        <v>681</v>
      </c>
      <c r="C116" s="24">
        <v>35.632</v>
      </c>
      <c r="D116" s="90"/>
      <c r="E116" s="35" t="s">
        <v>564</v>
      </c>
      <c r="F116" s="35" t="s">
        <v>565</v>
      </c>
      <c r="G116" s="10"/>
      <c r="H116" s="9"/>
      <c r="I116" s="35" t="s">
        <v>682</v>
      </c>
      <c r="J116" s="35" t="s">
        <v>664</v>
      </c>
      <c r="K116" s="10"/>
      <c r="L116" s="9"/>
      <c r="M116" s="12"/>
      <c r="N116" s="12"/>
      <c r="O116" s="9"/>
      <c r="P116" s="9"/>
      <c r="Q116" s="35" t="s">
        <v>549</v>
      </c>
      <c r="R116" s="35" t="s">
        <v>550</v>
      </c>
      <c r="S116" s="9"/>
      <c r="T116" s="35" t="s">
        <v>564</v>
      </c>
      <c r="U116" s="35" t="s">
        <v>565</v>
      </c>
      <c r="V116" s="9"/>
      <c r="W116" s="9"/>
      <c r="X116" s="9"/>
      <c r="Y116" s="9"/>
      <c r="Z116" s="9"/>
      <c r="AA116" s="9"/>
      <c r="AB116" s="9"/>
      <c r="AC116" s="9"/>
      <c r="AD116" s="35" t="s">
        <v>538</v>
      </c>
      <c r="AE116" s="35" t="s">
        <v>539</v>
      </c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</row>
    <row r="117" ht="15.0" customHeight="1">
      <c r="A117" s="9"/>
      <c r="B117" s="22" t="s">
        <v>683</v>
      </c>
      <c r="C117" s="24">
        <v>43.871</v>
      </c>
      <c r="D117" s="90"/>
      <c r="E117" s="35" t="s">
        <v>684</v>
      </c>
      <c r="F117" s="35" t="s">
        <v>685</v>
      </c>
      <c r="G117" s="10"/>
      <c r="H117" s="9"/>
      <c r="I117" s="35" t="s">
        <v>686</v>
      </c>
      <c r="J117" s="35" t="s">
        <v>687</v>
      </c>
      <c r="K117" s="10"/>
      <c r="L117" s="9"/>
      <c r="M117" s="12"/>
      <c r="N117" s="12"/>
      <c r="O117" s="9"/>
      <c r="P117" s="9"/>
      <c r="Q117" s="35" t="s">
        <v>554</v>
      </c>
      <c r="R117" s="35" t="s">
        <v>555</v>
      </c>
      <c r="S117" s="9"/>
      <c r="T117" s="35" t="s">
        <v>684</v>
      </c>
      <c r="U117" s="35" t="s">
        <v>685</v>
      </c>
      <c r="V117" s="9"/>
      <c r="W117" s="9"/>
      <c r="X117" s="9"/>
      <c r="Y117" s="9"/>
      <c r="Z117" s="9"/>
      <c r="AA117" s="9"/>
      <c r="AB117" s="9"/>
      <c r="AC117" s="9"/>
      <c r="AD117" s="35" t="s">
        <v>544</v>
      </c>
      <c r="AE117" s="35" t="s">
        <v>545</v>
      </c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</row>
    <row r="118" ht="15.0" customHeight="1">
      <c r="A118" s="9"/>
      <c r="B118" s="22" t="s">
        <v>688</v>
      </c>
      <c r="C118" s="24">
        <v>49.354</v>
      </c>
      <c r="D118" s="90"/>
      <c r="E118" s="35" t="s">
        <v>568</v>
      </c>
      <c r="F118" s="35" t="s">
        <v>569</v>
      </c>
      <c r="G118" s="10"/>
      <c r="H118" s="9"/>
      <c r="I118" s="35" t="s">
        <v>689</v>
      </c>
      <c r="J118" s="35" t="s">
        <v>690</v>
      </c>
      <c r="K118" s="9"/>
      <c r="L118" s="9"/>
      <c r="M118" s="12"/>
      <c r="N118" s="12"/>
      <c r="O118" s="9"/>
      <c r="P118" s="9"/>
      <c r="Q118" s="35" t="s">
        <v>557</v>
      </c>
      <c r="R118" s="35" t="s">
        <v>558</v>
      </c>
      <c r="S118" s="9"/>
      <c r="T118" s="35" t="s">
        <v>568</v>
      </c>
      <c r="U118" s="35" t="s">
        <v>569</v>
      </c>
      <c r="V118" s="9"/>
      <c r="W118" s="9"/>
      <c r="X118" s="9"/>
      <c r="Y118" s="9"/>
      <c r="Z118" s="9"/>
      <c r="AA118" s="9"/>
      <c r="AB118" s="9"/>
      <c r="AC118" s="9"/>
      <c r="AD118" s="35" t="s">
        <v>549</v>
      </c>
      <c r="AE118" s="35" t="s">
        <v>550</v>
      </c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</row>
    <row r="119" ht="15.0" customHeight="1">
      <c r="A119" s="9"/>
      <c r="B119" s="22" t="s">
        <v>691</v>
      </c>
      <c r="C119" s="24">
        <v>55.081</v>
      </c>
      <c r="D119" s="90"/>
      <c r="E119" s="35" t="s">
        <v>692</v>
      </c>
      <c r="F119" s="35" t="s">
        <v>693</v>
      </c>
      <c r="G119" s="10"/>
      <c r="H119" s="9"/>
      <c r="I119" s="35" t="s">
        <v>694</v>
      </c>
      <c r="J119" s="35" t="s">
        <v>695</v>
      </c>
      <c r="K119" s="9"/>
      <c r="L119" s="9"/>
      <c r="M119" s="12"/>
      <c r="N119" s="12"/>
      <c r="O119" s="9"/>
      <c r="P119" s="9"/>
      <c r="Q119" s="35" t="s">
        <v>561</v>
      </c>
      <c r="R119" s="35" t="s">
        <v>562</v>
      </c>
      <c r="S119" s="9"/>
      <c r="T119" s="35" t="s">
        <v>692</v>
      </c>
      <c r="U119" s="35" t="s">
        <v>693</v>
      </c>
      <c r="V119" s="9"/>
      <c r="W119" s="9"/>
      <c r="X119" s="9"/>
      <c r="Y119" s="9"/>
      <c r="Z119" s="9"/>
      <c r="AA119" s="9"/>
      <c r="AB119" s="9"/>
      <c r="AC119" s="9"/>
      <c r="AD119" s="35" t="s">
        <v>554</v>
      </c>
      <c r="AE119" s="35" t="s">
        <v>555</v>
      </c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</row>
    <row r="120" ht="15.0" customHeight="1">
      <c r="A120" s="9"/>
      <c r="B120" s="22" t="s">
        <v>696</v>
      </c>
      <c r="C120" s="24">
        <v>48.961</v>
      </c>
      <c r="D120" s="90"/>
      <c r="E120" s="35" t="s">
        <v>572</v>
      </c>
      <c r="F120" s="35" t="s">
        <v>573</v>
      </c>
      <c r="G120" s="10"/>
      <c r="H120" s="9"/>
      <c r="I120" s="35" t="s">
        <v>697</v>
      </c>
      <c r="J120" s="35" t="s">
        <v>698</v>
      </c>
      <c r="K120" s="9"/>
      <c r="L120" s="9"/>
      <c r="M120" s="12"/>
      <c r="N120" s="12"/>
      <c r="O120" s="9"/>
      <c r="P120" s="9"/>
      <c r="Q120" s="35" t="s">
        <v>564</v>
      </c>
      <c r="R120" s="35" t="s">
        <v>565</v>
      </c>
      <c r="S120" s="9"/>
      <c r="T120" s="35" t="s">
        <v>572</v>
      </c>
      <c r="U120" s="35" t="s">
        <v>573</v>
      </c>
      <c r="V120" s="9"/>
      <c r="W120" s="9"/>
      <c r="X120" s="9"/>
      <c r="Y120" s="9"/>
      <c r="Z120" s="9"/>
      <c r="AA120" s="9"/>
      <c r="AB120" s="9"/>
      <c r="AC120" s="9"/>
      <c r="AD120" s="35" t="s">
        <v>557</v>
      </c>
      <c r="AE120" s="35" t="s">
        <v>558</v>
      </c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</row>
    <row r="121" ht="15.0" customHeight="1">
      <c r="A121" s="9"/>
      <c r="B121" s="22" t="s">
        <v>699</v>
      </c>
      <c r="C121" s="24">
        <v>58.321</v>
      </c>
      <c r="D121" s="16"/>
      <c r="E121" s="35" t="s">
        <v>700</v>
      </c>
      <c r="F121" s="35" t="s">
        <v>701</v>
      </c>
      <c r="G121" s="10"/>
      <c r="H121" s="9"/>
      <c r="I121" s="35" t="s">
        <v>702</v>
      </c>
      <c r="J121" s="35" t="s">
        <v>703</v>
      </c>
      <c r="K121" s="9"/>
      <c r="L121" s="9"/>
      <c r="M121" s="12"/>
      <c r="N121" s="12"/>
      <c r="O121" s="9"/>
      <c r="P121" s="9"/>
      <c r="Q121" s="35" t="s">
        <v>684</v>
      </c>
      <c r="R121" s="35" t="s">
        <v>685</v>
      </c>
      <c r="S121" s="9"/>
      <c r="T121" s="35" t="s">
        <v>700</v>
      </c>
      <c r="U121" s="35" t="s">
        <v>701</v>
      </c>
      <c r="V121" s="9"/>
      <c r="W121" s="9"/>
      <c r="X121" s="9"/>
      <c r="Y121" s="9"/>
      <c r="Z121" s="9"/>
      <c r="AA121" s="9"/>
      <c r="AB121" s="9"/>
      <c r="AC121" s="9"/>
      <c r="AD121" s="35" t="s">
        <v>561</v>
      </c>
      <c r="AE121" s="35" t="s">
        <v>562</v>
      </c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</row>
    <row r="122" ht="15.0" customHeight="1">
      <c r="A122" s="9"/>
      <c r="B122" s="22" t="s">
        <v>704</v>
      </c>
      <c r="C122" s="24">
        <v>51.841</v>
      </c>
      <c r="D122" s="90"/>
      <c r="E122" s="35" t="s">
        <v>583</v>
      </c>
      <c r="F122" s="35" t="s">
        <v>584</v>
      </c>
      <c r="G122" s="10"/>
      <c r="H122" s="9"/>
      <c r="I122" s="35" t="s">
        <v>705</v>
      </c>
      <c r="J122" s="35" t="s">
        <v>706</v>
      </c>
      <c r="K122" s="9"/>
      <c r="L122" s="9"/>
      <c r="M122" s="12"/>
      <c r="N122" s="12"/>
      <c r="O122" s="9"/>
      <c r="P122" s="9"/>
      <c r="Q122" s="35" t="s">
        <v>568</v>
      </c>
      <c r="R122" s="35" t="s">
        <v>569</v>
      </c>
      <c r="S122" s="9"/>
      <c r="T122" s="35" t="s">
        <v>583</v>
      </c>
      <c r="U122" s="35" t="s">
        <v>584</v>
      </c>
      <c r="V122" s="9"/>
      <c r="W122" s="9"/>
      <c r="X122" s="9"/>
      <c r="Y122" s="9"/>
      <c r="Z122" s="9"/>
      <c r="AA122" s="9"/>
      <c r="AB122" s="9"/>
      <c r="AC122" s="9"/>
      <c r="AD122" s="35" t="s">
        <v>564</v>
      </c>
      <c r="AE122" s="35" t="s">
        <v>565</v>
      </c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</row>
    <row r="123" ht="15.0" customHeight="1">
      <c r="A123" s="9"/>
      <c r="B123" s="22" t="s">
        <v>707</v>
      </c>
      <c r="C123" s="24">
        <v>58.321</v>
      </c>
      <c r="D123" s="90"/>
      <c r="E123" s="35" t="s">
        <v>708</v>
      </c>
      <c r="F123" s="35" t="s">
        <v>709</v>
      </c>
      <c r="G123" s="10"/>
      <c r="H123" s="9"/>
      <c r="I123" s="35" t="s">
        <v>710</v>
      </c>
      <c r="J123" s="35" t="s">
        <v>711</v>
      </c>
      <c r="K123" s="9"/>
      <c r="L123" s="9"/>
      <c r="M123" s="12"/>
      <c r="N123" s="12"/>
      <c r="O123" s="9"/>
      <c r="P123" s="9"/>
      <c r="Q123" s="35" t="s">
        <v>692</v>
      </c>
      <c r="R123" s="35" t="s">
        <v>693</v>
      </c>
      <c r="S123" s="9"/>
      <c r="T123" s="35" t="s">
        <v>708</v>
      </c>
      <c r="U123" s="35" t="s">
        <v>709</v>
      </c>
      <c r="V123" s="9"/>
      <c r="W123" s="9"/>
      <c r="X123" s="9"/>
      <c r="Y123" s="9"/>
      <c r="Z123" s="9"/>
      <c r="AA123" s="9"/>
      <c r="AB123" s="9"/>
      <c r="AC123" s="9"/>
      <c r="AD123" s="35" t="s">
        <v>684</v>
      </c>
      <c r="AE123" s="35" t="s">
        <v>685</v>
      </c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</row>
    <row r="124" ht="15.0" customHeight="1">
      <c r="A124" s="9"/>
      <c r="B124" s="22" t="s">
        <v>712</v>
      </c>
      <c r="C124" s="24">
        <v>51.841</v>
      </c>
      <c r="D124" s="90"/>
      <c r="E124" s="35" t="s">
        <v>713</v>
      </c>
      <c r="F124" s="35" t="s">
        <v>714</v>
      </c>
      <c r="G124" s="10"/>
      <c r="H124" s="9"/>
      <c r="I124" s="35" t="s">
        <v>715</v>
      </c>
      <c r="J124" s="35" t="s">
        <v>716</v>
      </c>
      <c r="K124" s="9"/>
      <c r="L124" s="9"/>
      <c r="M124" s="12"/>
      <c r="N124" s="12"/>
      <c r="O124" s="9"/>
      <c r="P124" s="9"/>
      <c r="Q124" s="35" t="s">
        <v>572</v>
      </c>
      <c r="R124" s="35" t="s">
        <v>573</v>
      </c>
      <c r="S124" s="9"/>
      <c r="T124" s="35" t="s">
        <v>713</v>
      </c>
      <c r="U124" s="35" t="s">
        <v>714</v>
      </c>
      <c r="V124" s="9"/>
      <c r="W124" s="9"/>
      <c r="X124" s="9"/>
      <c r="Y124" s="9"/>
      <c r="Z124" s="9"/>
      <c r="AA124" s="9"/>
      <c r="AB124" s="9"/>
      <c r="AC124" s="9"/>
      <c r="AD124" s="35" t="s">
        <v>568</v>
      </c>
      <c r="AE124" s="35" t="s">
        <v>569</v>
      </c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</row>
    <row r="125" ht="15.0" customHeight="1">
      <c r="A125" s="9"/>
      <c r="B125" s="22" t="s">
        <v>717</v>
      </c>
      <c r="C125" s="24">
        <v>81.002</v>
      </c>
      <c r="D125" s="90"/>
      <c r="E125" s="35" t="s">
        <v>718</v>
      </c>
      <c r="F125" s="35" t="s">
        <v>719</v>
      </c>
      <c r="G125" s="10"/>
      <c r="H125" s="9"/>
      <c r="I125" s="35" t="s">
        <v>720</v>
      </c>
      <c r="J125" s="35" t="s">
        <v>721</v>
      </c>
      <c r="K125" s="9"/>
      <c r="L125" s="9"/>
      <c r="M125" s="12"/>
      <c r="N125" s="12"/>
      <c r="O125" s="9"/>
      <c r="P125" s="9"/>
      <c r="Q125" s="35" t="s">
        <v>578</v>
      </c>
      <c r="R125" s="35" t="s">
        <v>579</v>
      </c>
      <c r="S125" s="9"/>
      <c r="T125" s="35" t="s">
        <v>718</v>
      </c>
      <c r="U125" s="35" t="s">
        <v>719</v>
      </c>
      <c r="V125" s="9"/>
      <c r="W125" s="9"/>
      <c r="X125" s="9"/>
      <c r="Y125" s="9"/>
      <c r="Z125" s="9"/>
      <c r="AA125" s="9"/>
      <c r="AB125" s="9"/>
      <c r="AC125" s="9"/>
      <c r="AD125" s="35" t="s">
        <v>692</v>
      </c>
      <c r="AE125" s="35" t="s">
        <v>693</v>
      </c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</row>
    <row r="126" ht="15.0" customHeight="1">
      <c r="A126" s="9"/>
      <c r="B126" s="22" t="s">
        <v>722</v>
      </c>
      <c r="C126" s="24">
        <v>72.001</v>
      </c>
      <c r="D126" s="90"/>
      <c r="E126" s="35" t="s">
        <v>723</v>
      </c>
      <c r="F126" s="35" t="s">
        <v>724</v>
      </c>
      <c r="G126" s="10"/>
      <c r="H126" s="9"/>
      <c r="I126" s="35" t="s">
        <v>725</v>
      </c>
      <c r="J126" s="35" t="s">
        <v>726</v>
      </c>
      <c r="K126" s="9"/>
      <c r="L126" s="9"/>
      <c r="M126" s="12"/>
      <c r="N126" s="12"/>
      <c r="O126" s="9"/>
      <c r="P126" s="9"/>
      <c r="Q126" s="35" t="s">
        <v>700</v>
      </c>
      <c r="R126" s="35" t="s">
        <v>701</v>
      </c>
      <c r="S126" s="9"/>
      <c r="T126" s="35" t="s">
        <v>723</v>
      </c>
      <c r="U126" s="35" t="s">
        <v>724</v>
      </c>
      <c r="V126" s="9"/>
      <c r="W126" s="9"/>
      <c r="X126" s="9"/>
      <c r="Y126" s="9"/>
      <c r="Z126" s="9"/>
      <c r="AA126" s="9"/>
      <c r="AB126" s="9"/>
      <c r="AC126" s="9"/>
      <c r="AD126" s="35" t="s">
        <v>572</v>
      </c>
      <c r="AE126" s="35" t="s">
        <v>573</v>
      </c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</row>
    <row r="127" ht="15.0" customHeight="1">
      <c r="A127" s="9"/>
      <c r="B127" s="22" t="s">
        <v>727</v>
      </c>
      <c r="C127" s="24">
        <v>72.001</v>
      </c>
      <c r="D127" s="90"/>
      <c r="E127" s="35" t="s">
        <v>586</v>
      </c>
      <c r="F127" s="35" t="s">
        <v>587</v>
      </c>
      <c r="G127" s="9"/>
      <c r="H127" s="9"/>
      <c r="I127" s="35" t="s">
        <v>728</v>
      </c>
      <c r="J127" s="35" t="s">
        <v>729</v>
      </c>
      <c r="K127" s="9"/>
      <c r="L127" s="9"/>
      <c r="M127" s="12"/>
      <c r="N127" s="12"/>
      <c r="O127" s="9"/>
      <c r="P127" s="9"/>
      <c r="Q127" s="35" t="s">
        <v>583</v>
      </c>
      <c r="R127" s="35" t="s">
        <v>584</v>
      </c>
      <c r="S127" s="62"/>
      <c r="T127" s="35" t="s">
        <v>586</v>
      </c>
      <c r="U127" s="35" t="s">
        <v>587</v>
      </c>
      <c r="V127" s="9"/>
      <c r="W127" s="9"/>
      <c r="X127" s="9"/>
      <c r="Y127" s="9"/>
      <c r="Z127" s="9"/>
      <c r="AA127" s="9"/>
      <c r="AB127" s="9"/>
      <c r="AC127" s="9"/>
      <c r="AD127" s="35" t="s">
        <v>578</v>
      </c>
      <c r="AE127" s="35" t="s">
        <v>579</v>
      </c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112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</row>
    <row r="128" ht="15.0" customHeight="1">
      <c r="A128" s="9"/>
      <c r="B128" s="21" t="s">
        <v>71</v>
      </c>
      <c r="C128" s="21" t="s">
        <v>71</v>
      </c>
      <c r="D128" s="90" t="s">
        <v>13</v>
      </c>
      <c r="E128" s="35" t="s">
        <v>589</v>
      </c>
      <c r="F128" s="35" t="s">
        <v>590</v>
      </c>
      <c r="G128" s="9"/>
      <c r="H128" s="9"/>
      <c r="I128" s="35" t="s">
        <v>730</v>
      </c>
      <c r="J128" s="35" t="s">
        <v>731</v>
      </c>
      <c r="K128" s="9"/>
      <c r="L128" s="9"/>
      <c r="M128" s="12"/>
      <c r="N128" s="12"/>
      <c r="O128" s="9"/>
      <c r="P128" s="9"/>
      <c r="Q128" s="35" t="s">
        <v>708</v>
      </c>
      <c r="R128" s="35" t="s">
        <v>709</v>
      </c>
      <c r="S128" s="62"/>
      <c r="T128" s="35" t="s">
        <v>589</v>
      </c>
      <c r="U128" s="35" t="s">
        <v>590</v>
      </c>
      <c r="V128" s="9"/>
      <c r="W128" s="9"/>
      <c r="X128" s="9"/>
      <c r="Y128" s="9"/>
      <c r="Z128" s="9"/>
      <c r="AA128" s="9"/>
      <c r="AB128" s="9"/>
      <c r="AC128" s="9"/>
      <c r="AD128" s="35" t="s">
        <v>700</v>
      </c>
      <c r="AE128" s="35" t="s">
        <v>701</v>
      </c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112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</row>
    <row r="129" ht="15.0" customHeight="1">
      <c r="A129" s="9"/>
      <c r="B129" s="22" t="s">
        <v>732</v>
      </c>
      <c r="C129" s="24">
        <v>29.377</v>
      </c>
      <c r="D129" s="90"/>
      <c r="E129" s="35" t="s">
        <v>733</v>
      </c>
      <c r="F129" s="35" t="s">
        <v>734</v>
      </c>
      <c r="G129" s="9"/>
      <c r="H129" s="9"/>
      <c r="I129" s="10"/>
      <c r="J129" s="9"/>
      <c r="K129" s="9"/>
      <c r="L129" s="9"/>
      <c r="M129" s="12"/>
      <c r="N129" s="12"/>
      <c r="O129" s="9"/>
      <c r="P129" s="9"/>
      <c r="Q129" s="35" t="s">
        <v>713</v>
      </c>
      <c r="R129" s="35" t="s">
        <v>714</v>
      </c>
      <c r="S129" s="62"/>
      <c r="T129" s="35" t="s">
        <v>733</v>
      </c>
      <c r="U129" s="35" t="s">
        <v>734</v>
      </c>
      <c r="V129" s="9"/>
      <c r="W129" s="9"/>
      <c r="X129" s="9"/>
      <c r="Y129" s="9"/>
      <c r="Z129" s="9"/>
      <c r="AA129" s="9"/>
      <c r="AB129" s="9"/>
      <c r="AC129" s="9"/>
      <c r="AD129" s="35" t="s">
        <v>583</v>
      </c>
      <c r="AE129" s="35" t="s">
        <v>584</v>
      </c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112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</row>
    <row r="130" ht="15.0" customHeight="1">
      <c r="A130" s="9"/>
      <c r="B130" s="22" t="s">
        <v>735</v>
      </c>
      <c r="C130" s="24">
        <v>29.377</v>
      </c>
      <c r="D130" s="90"/>
      <c r="E130" s="35" t="s">
        <v>592</v>
      </c>
      <c r="F130" s="35" t="s">
        <v>593</v>
      </c>
      <c r="G130" s="9"/>
      <c r="H130" s="9"/>
      <c r="I130" s="10"/>
      <c r="J130" s="9"/>
      <c r="K130" s="9"/>
      <c r="L130" s="9"/>
      <c r="M130" s="12"/>
      <c r="N130" s="12"/>
      <c r="O130" s="9"/>
      <c r="P130" s="9"/>
      <c r="Q130" s="35" t="s">
        <v>718</v>
      </c>
      <c r="R130" s="35" t="s">
        <v>719</v>
      </c>
      <c r="S130" s="62"/>
      <c r="T130" s="35" t="s">
        <v>592</v>
      </c>
      <c r="U130" s="35" t="s">
        <v>593</v>
      </c>
      <c r="V130" s="9"/>
      <c r="W130" s="9"/>
      <c r="X130" s="9"/>
      <c r="Y130" s="9"/>
      <c r="Z130" s="9"/>
      <c r="AA130" s="9"/>
      <c r="AB130" s="9"/>
      <c r="AC130" s="9"/>
      <c r="AD130" s="35" t="s">
        <v>708</v>
      </c>
      <c r="AE130" s="35" t="s">
        <v>709</v>
      </c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112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</row>
    <row r="131" ht="15.0" customHeight="1">
      <c r="A131" s="9"/>
      <c r="B131" s="22" t="s">
        <v>736</v>
      </c>
      <c r="C131" s="24">
        <v>29.377</v>
      </c>
      <c r="D131" s="90"/>
      <c r="E131" s="35" t="s">
        <v>595</v>
      </c>
      <c r="F131" s="35" t="s">
        <v>596</v>
      </c>
      <c r="G131" s="9"/>
      <c r="H131" s="9"/>
      <c r="I131" s="10"/>
      <c r="J131" s="9"/>
      <c r="K131" s="9"/>
      <c r="L131" s="9"/>
      <c r="M131" s="12"/>
      <c r="N131" s="12"/>
      <c r="O131" s="9"/>
      <c r="P131" s="9"/>
      <c r="Q131" s="35" t="s">
        <v>723</v>
      </c>
      <c r="R131" s="35" t="s">
        <v>724</v>
      </c>
      <c r="S131" s="62"/>
      <c r="T131" s="35" t="s">
        <v>595</v>
      </c>
      <c r="U131" s="35" t="s">
        <v>596</v>
      </c>
      <c r="V131" s="9"/>
      <c r="W131" s="9"/>
      <c r="X131" s="9"/>
      <c r="Y131" s="9"/>
      <c r="Z131" s="9"/>
      <c r="AA131" s="9"/>
      <c r="AB131" s="9"/>
      <c r="AC131" s="9"/>
      <c r="AD131" s="35" t="s">
        <v>713</v>
      </c>
      <c r="AE131" s="35" t="s">
        <v>714</v>
      </c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112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</row>
    <row r="132" ht="15.0" customHeight="1">
      <c r="A132" s="9"/>
      <c r="B132" s="22" t="s">
        <v>737</v>
      </c>
      <c r="C132" s="24">
        <v>33.049</v>
      </c>
      <c r="D132" s="90"/>
      <c r="E132" s="35" t="s">
        <v>599</v>
      </c>
      <c r="F132" s="35" t="s">
        <v>600</v>
      </c>
      <c r="G132" s="9"/>
      <c r="H132" s="9"/>
      <c r="I132" s="10"/>
      <c r="J132" s="9"/>
      <c r="K132" s="9"/>
      <c r="L132" s="9"/>
      <c r="M132" s="12"/>
      <c r="N132" s="12"/>
      <c r="O132" s="9"/>
      <c r="P132" s="9"/>
      <c r="Q132" s="35" t="s">
        <v>586</v>
      </c>
      <c r="R132" s="35" t="s">
        <v>587</v>
      </c>
      <c r="S132" s="62"/>
      <c r="T132" s="35" t="s">
        <v>599</v>
      </c>
      <c r="U132" s="35" t="s">
        <v>600</v>
      </c>
      <c r="V132" s="9"/>
      <c r="W132" s="9"/>
      <c r="X132" s="9"/>
      <c r="Y132" s="9"/>
      <c r="Z132" s="9"/>
      <c r="AA132" s="9"/>
      <c r="AB132" s="9"/>
      <c r="AC132" s="9"/>
      <c r="AD132" s="35" t="s">
        <v>718</v>
      </c>
      <c r="AE132" s="35" t="s">
        <v>719</v>
      </c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112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</row>
    <row r="133" ht="15.0" customHeight="1">
      <c r="A133" s="9"/>
      <c r="B133" s="22" t="s">
        <v>738</v>
      </c>
      <c r="C133" s="24">
        <v>33.049</v>
      </c>
      <c r="D133" s="90"/>
      <c r="E133" s="35" t="s">
        <v>604</v>
      </c>
      <c r="F133" s="35" t="s">
        <v>605</v>
      </c>
      <c r="G133" s="9"/>
      <c r="H133" s="9"/>
      <c r="I133" s="10"/>
      <c r="J133" s="9"/>
      <c r="K133" s="9"/>
      <c r="L133" s="9"/>
      <c r="M133" s="12"/>
      <c r="N133" s="12"/>
      <c r="O133" s="9"/>
      <c r="P133" s="9"/>
      <c r="Q133" s="35" t="s">
        <v>589</v>
      </c>
      <c r="R133" s="35" t="s">
        <v>590</v>
      </c>
      <c r="S133" s="9"/>
      <c r="T133" s="35" t="s">
        <v>604</v>
      </c>
      <c r="U133" s="35" t="s">
        <v>605</v>
      </c>
      <c r="V133" s="9"/>
      <c r="W133" s="9"/>
      <c r="X133" s="9"/>
      <c r="Y133" s="9"/>
      <c r="Z133" s="9"/>
      <c r="AA133" s="9"/>
      <c r="AB133" s="9"/>
      <c r="AC133" s="9"/>
      <c r="AD133" s="35" t="s">
        <v>723</v>
      </c>
      <c r="AE133" s="35" t="s">
        <v>724</v>
      </c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112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</row>
    <row r="134" ht="15.0" customHeight="1">
      <c r="A134" s="9"/>
      <c r="B134" s="22" t="s">
        <v>739</v>
      </c>
      <c r="C134" s="24">
        <v>33.049</v>
      </c>
      <c r="D134" s="90"/>
      <c r="E134" s="35" t="s">
        <v>607</v>
      </c>
      <c r="F134" s="35" t="s">
        <v>608</v>
      </c>
      <c r="G134" s="9"/>
      <c r="H134" s="9"/>
      <c r="I134" s="10"/>
      <c r="J134" s="9"/>
      <c r="K134" s="9"/>
      <c r="L134" s="9"/>
      <c r="M134" s="12"/>
      <c r="N134" s="12"/>
      <c r="O134" s="9"/>
      <c r="P134" s="9"/>
      <c r="Q134" s="35" t="s">
        <v>733</v>
      </c>
      <c r="R134" s="35" t="s">
        <v>734</v>
      </c>
      <c r="S134" s="9"/>
      <c r="T134" s="35" t="s">
        <v>607</v>
      </c>
      <c r="U134" s="35" t="s">
        <v>608</v>
      </c>
      <c r="V134" s="9"/>
      <c r="W134" s="9"/>
      <c r="X134" s="9"/>
      <c r="Y134" s="9"/>
      <c r="Z134" s="9"/>
      <c r="AA134" s="9"/>
      <c r="AB134" s="9"/>
      <c r="AC134" s="9"/>
      <c r="AD134" s="35" t="s">
        <v>586</v>
      </c>
      <c r="AE134" s="35" t="s">
        <v>587</v>
      </c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112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</row>
    <row r="135" ht="15.0" customHeight="1">
      <c r="A135" s="9"/>
      <c r="B135" s="22" t="s">
        <v>740</v>
      </c>
      <c r="C135" s="24">
        <v>33.596</v>
      </c>
      <c r="D135" s="90"/>
      <c r="E135" s="35" t="s">
        <v>612</v>
      </c>
      <c r="F135" s="35" t="s">
        <v>613</v>
      </c>
      <c r="G135" s="9"/>
      <c r="H135" s="9"/>
      <c r="I135" s="10"/>
      <c r="J135" s="9"/>
      <c r="K135" s="9"/>
      <c r="L135" s="9"/>
      <c r="M135" s="12"/>
      <c r="N135" s="12"/>
      <c r="O135" s="9"/>
      <c r="P135" s="9"/>
      <c r="Q135" s="35" t="s">
        <v>592</v>
      </c>
      <c r="R135" s="35" t="s">
        <v>593</v>
      </c>
      <c r="S135" s="9"/>
      <c r="T135" s="35" t="s">
        <v>612</v>
      </c>
      <c r="U135" s="35" t="s">
        <v>613</v>
      </c>
      <c r="V135" s="9"/>
      <c r="W135" s="9"/>
      <c r="X135" s="9"/>
      <c r="Y135" s="9"/>
      <c r="Z135" s="9"/>
      <c r="AA135" s="9"/>
      <c r="AB135" s="9"/>
      <c r="AC135" s="9"/>
      <c r="AD135" s="35" t="s">
        <v>589</v>
      </c>
      <c r="AE135" s="35" t="s">
        <v>590</v>
      </c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112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</row>
    <row r="136" ht="15.0" customHeight="1">
      <c r="A136" s="9"/>
      <c r="B136" s="22" t="s">
        <v>741</v>
      </c>
      <c r="C136" s="24">
        <v>33.596</v>
      </c>
      <c r="D136" s="90"/>
      <c r="E136" s="35" t="s">
        <v>618</v>
      </c>
      <c r="F136" s="35" t="s">
        <v>619</v>
      </c>
      <c r="G136" s="9"/>
      <c r="H136" s="9"/>
      <c r="I136" s="10"/>
      <c r="J136" s="9"/>
      <c r="K136" s="9"/>
      <c r="L136" s="9"/>
      <c r="M136" s="12"/>
      <c r="N136" s="12"/>
      <c r="O136" s="9"/>
      <c r="P136" s="9"/>
      <c r="Q136" s="35" t="s">
        <v>595</v>
      </c>
      <c r="R136" s="35" t="s">
        <v>596</v>
      </c>
      <c r="S136" s="9"/>
      <c r="T136" s="35" t="s">
        <v>618</v>
      </c>
      <c r="U136" s="35" t="s">
        <v>619</v>
      </c>
      <c r="V136" s="9"/>
      <c r="W136" s="9"/>
      <c r="X136" s="9"/>
      <c r="Y136" s="9"/>
      <c r="Z136" s="9"/>
      <c r="AA136" s="9"/>
      <c r="AB136" s="9"/>
      <c r="AC136" s="9"/>
      <c r="AD136" s="35" t="s">
        <v>733</v>
      </c>
      <c r="AE136" s="35" t="s">
        <v>734</v>
      </c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112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</row>
    <row r="137" ht="15.0" customHeight="1">
      <c r="A137" s="9"/>
      <c r="B137" s="22" t="s">
        <v>742</v>
      </c>
      <c r="C137" s="24">
        <v>33.596</v>
      </c>
      <c r="D137" s="9"/>
      <c r="E137" s="35" t="s">
        <v>623</v>
      </c>
      <c r="F137" s="35" t="s">
        <v>624</v>
      </c>
      <c r="G137" s="9"/>
      <c r="H137" s="9"/>
      <c r="I137" s="10"/>
      <c r="J137" s="9"/>
      <c r="K137" s="9"/>
      <c r="L137" s="9"/>
      <c r="M137" s="12"/>
      <c r="N137" s="12"/>
      <c r="O137" s="9"/>
      <c r="P137" s="9"/>
      <c r="Q137" s="35" t="s">
        <v>599</v>
      </c>
      <c r="R137" s="35" t="s">
        <v>600</v>
      </c>
      <c r="S137" s="9"/>
      <c r="T137" s="35" t="s">
        <v>623</v>
      </c>
      <c r="U137" s="35" t="s">
        <v>624</v>
      </c>
      <c r="V137" s="9"/>
      <c r="W137" s="9"/>
      <c r="X137" s="9"/>
      <c r="Y137" s="9"/>
      <c r="Z137" s="9"/>
      <c r="AA137" s="9"/>
      <c r="AB137" s="9"/>
      <c r="AC137" s="9"/>
      <c r="AD137" s="35" t="s">
        <v>592</v>
      </c>
      <c r="AE137" s="35" t="s">
        <v>593</v>
      </c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112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</row>
    <row r="138" ht="15.0" customHeight="1">
      <c r="A138" s="9"/>
      <c r="B138" s="22" t="s">
        <v>743</v>
      </c>
      <c r="C138" s="24">
        <v>37.796</v>
      </c>
      <c r="D138" s="90"/>
      <c r="E138" s="35" t="s">
        <v>628</v>
      </c>
      <c r="F138" s="35" t="s">
        <v>629</v>
      </c>
      <c r="G138" s="9"/>
      <c r="H138" s="9"/>
      <c r="I138" s="10"/>
      <c r="J138" s="9"/>
      <c r="K138" s="9"/>
      <c r="L138" s="9"/>
      <c r="M138" s="12"/>
      <c r="N138" s="12"/>
      <c r="O138" s="9"/>
      <c r="P138" s="9"/>
      <c r="Q138" s="35" t="s">
        <v>604</v>
      </c>
      <c r="R138" s="35" t="s">
        <v>605</v>
      </c>
      <c r="S138" s="9"/>
      <c r="T138" s="35" t="s">
        <v>628</v>
      </c>
      <c r="U138" s="35" t="s">
        <v>629</v>
      </c>
      <c r="V138" s="9"/>
      <c r="W138" s="9"/>
      <c r="X138" s="9"/>
      <c r="Y138" s="9"/>
      <c r="Z138" s="9"/>
      <c r="AA138" s="9"/>
      <c r="AB138" s="9"/>
      <c r="AC138" s="9"/>
      <c r="AD138" s="35" t="s">
        <v>595</v>
      </c>
      <c r="AE138" s="35" t="s">
        <v>596</v>
      </c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112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</row>
    <row r="139" ht="15.0" customHeight="1">
      <c r="A139" s="9"/>
      <c r="B139" s="22" t="s">
        <v>744</v>
      </c>
      <c r="C139" s="24">
        <v>37.796</v>
      </c>
      <c r="D139" s="16"/>
      <c r="E139" s="35" t="s">
        <v>633</v>
      </c>
      <c r="F139" s="35" t="s">
        <v>634</v>
      </c>
      <c r="G139" s="9"/>
      <c r="H139" s="9"/>
      <c r="I139" s="10"/>
      <c r="J139" s="9"/>
      <c r="K139" s="9"/>
      <c r="L139" s="9"/>
      <c r="M139" s="12"/>
      <c r="N139" s="12"/>
      <c r="O139" s="9"/>
      <c r="P139" s="9"/>
      <c r="Q139" s="35" t="s">
        <v>607</v>
      </c>
      <c r="R139" s="35" t="s">
        <v>608</v>
      </c>
      <c r="S139" s="9"/>
      <c r="T139" s="35" t="s">
        <v>633</v>
      </c>
      <c r="U139" s="35" t="s">
        <v>634</v>
      </c>
      <c r="V139" s="9"/>
      <c r="W139" s="9"/>
      <c r="X139" s="9"/>
      <c r="Y139" s="9"/>
      <c r="Z139" s="9"/>
      <c r="AA139" s="9"/>
      <c r="AB139" s="9"/>
      <c r="AC139" s="9"/>
      <c r="AD139" s="35" t="s">
        <v>599</v>
      </c>
      <c r="AE139" s="35" t="s">
        <v>600</v>
      </c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112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</row>
    <row r="140" ht="15.0" customHeight="1">
      <c r="A140" s="9"/>
      <c r="B140" s="22" t="s">
        <v>745</v>
      </c>
      <c r="C140" s="24">
        <v>37.796</v>
      </c>
      <c r="D140" s="90"/>
      <c r="E140" s="35" t="s">
        <v>636</v>
      </c>
      <c r="F140" s="35" t="s">
        <v>637</v>
      </c>
      <c r="G140" s="9"/>
      <c r="H140" s="9"/>
      <c r="I140" s="10"/>
      <c r="J140" s="9"/>
      <c r="K140" s="9"/>
      <c r="L140" s="9"/>
      <c r="M140" s="12"/>
      <c r="N140" s="12"/>
      <c r="O140" s="9"/>
      <c r="P140" s="9"/>
      <c r="Q140" s="35" t="s">
        <v>612</v>
      </c>
      <c r="R140" s="35" t="s">
        <v>613</v>
      </c>
      <c r="S140" s="9"/>
      <c r="T140" s="35" t="s">
        <v>636</v>
      </c>
      <c r="U140" s="35" t="s">
        <v>637</v>
      </c>
      <c r="V140" s="9"/>
      <c r="W140" s="9"/>
      <c r="X140" s="9"/>
      <c r="Y140" s="9"/>
      <c r="Z140" s="9"/>
      <c r="AA140" s="9"/>
      <c r="AB140" s="9"/>
      <c r="AC140" s="9"/>
      <c r="AD140" s="35" t="s">
        <v>604</v>
      </c>
      <c r="AE140" s="35" t="s">
        <v>605</v>
      </c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112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</row>
    <row r="141" ht="15.0" customHeight="1">
      <c r="A141" s="9"/>
      <c r="B141" s="22" t="s">
        <v>746</v>
      </c>
      <c r="C141" s="24">
        <v>36.543</v>
      </c>
      <c r="D141" s="90"/>
      <c r="E141" s="35" t="s">
        <v>639</v>
      </c>
      <c r="F141" s="35" t="s">
        <v>640</v>
      </c>
      <c r="G141" s="9"/>
      <c r="H141" s="9"/>
      <c r="I141" s="10"/>
      <c r="J141" s="9"/>
      <c r="K141" s="9"/>
      <c r="L141" s="9"/>
      <c r="M141" s="12"/>
      <c r="N141" s="12"/>
      <c r="O141" s="9"/>
      <c r="P141" s="9"/>
      <c r="Q141" s="35" t="s">
        <v>618</v>
      </c>
      <c r="R141" s="35" t="s">
        <v>619</v>
      </c>
      <c r="S141" s="9"/>
      <c r="T141" s="35" t="s">
        <v>639</v>
      </c>
      <c r="U141" s="35" t="s">
        <v>640</v>
      </c>
      <c r="V141" s="9"/>
      <c r="W141" s="9"/>
      <c r="X141" s="9"/>
      <c r="Y141" s="9"/>
      <c r="Z141" s="9"/>
      <c r="AA141" s="9"/>
      <c r="AB141" s="9"/>
      <c r="AC141" s="9"/>
      <c r="AD141" s="35" t="s">
        <v>607</v>
      </c>
      <c r="AE141" s="35" t="s">
        <v>608</v>
      </c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112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</row>
    <row r="142" ht="15.0" customHeight="1">
      <c r="A142" s="9"/>
      <c r="B142" s="22" t="s">
        <v>747</v>
      </c>
      <c r="C142" s="24">
        <v>36.543</v>
      </c>
      <c r="D142" s="90"/>
      <c r="E142" s="35" t="s">
        <v>748</v>
      </c>
      <c r="F142" s="35" t="s">
        <v>749</v>
      </c>
      <c r="G142" s="9"/>
      <c r="H142" s="9"/>
      <c r="I142" s="10"/>
      <c r="J142" s="9"/>
      <c r="K142" s="9"/>
      <c r="L142" s="9"/>
      <c r="M142" s="12"/>
      <c r="N142" s="12"/>
      <c r="O142" s="9"/>
      <c r="P142" s="9"/>
      <c r="Q142" s="35" t="s">
        <v>623</v>
      </c>
      <c r="R142" s="35" t="s">
        <v>624</v>
      </c>
      <c r="S142" s="9"/>
      <c r="T142" s="35" t="s">
        <v>748</v>
      </c>
      <c r="U142" s="35" t="s">
        <v>749</v>
      </c>
      <c r="V142" s="9"/>
      <c r="W142" s="9"/>
      <c r="X142" s="9"/>
      <c r="Y142" s="9"/>
      <c r="Z142" s="9"/>
      <c r="AA142" s="9"/>
      <c r="AB142" s="9"/>
      <c r="AC142" s="9"/>
      <c r="AD142" s="35" t="s">
        <v>612</v>
      </c>
      <c r="AE142" s="35" t="s">
        <v>613</v>
      </c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112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</row>
    <row r="143" ht="15.0" customHeight="1">
      <c r="A143" s="9"/>
      <c r="B143" s="22" t="s">
        <v>750</v>
      </c>
      <c r="C143" s="24">
        <v>36.543</v>
      </c>
      <c r="D143" s="90"/>
      <c r="E143" s="35" t="s">
        <v>642</v>
      </c>
      <c r="F143" s="35" t="s">
        <v>643</v>
      </c>
      <c r="G143" s="9"/>
      <c r="H143" s="9"/>
      <c r="I143" s="10"/>
      <c r="J143" s="9"/>
      <c r="K143" s="9"/>
      <c r="L143" s="9"/>
      <c r="M143" s="12"/>
      <c r="N143" s="12"/>
      <c r="O143" s="9"/>
      <c r="P143" s="9"/>
      <c r="Q143" s="35" t="s">
        <v>628</v>
      </c>
      <c r="R143" s="35" t="s">
        <v>629</v>
      </c>
      <c r="S143" s="9"/>
      <c r="T143" s="35" t="s">
        <v>642</v>
      </c>
      <c r="U143" s="35" t="s">
        <v>643</v>
      </c>
      <c r="V143" s="9"/>
      <c r="W143" s="9"/>
      <c r="X143" s="9"/>
      <c r="Y143" s="9"/>
      <c r="Z143" s="9"/>
      <c r="AA143" s="9"/>
      <c r="AB143" s="9"/>
      <c r="AC143" s="9"/>
      <c r="AD143" s="35" t="s">
        <v>618</v>
      </c>
      <c r="AE143" s="35" t="s">
        <v>619</v>
      </c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112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</row>
    <row r="144" ht="15.0" customHeight="1">
      <c r="A144" s="9"/>
      <c r="B144" s="22" t="s">
        <v>751</v>
      </c>
      <c r="C144" s="24">
        <v>36.543</v>
      </c>
      <c r="D144" s="90"/>
      <c r="E144" s="35" t="s">
        <v>645</v>
      </c>
      <c r="F144" s="35" t="s">
        <v>646</v>
      </c>
      <c r="G144" s="9"/>
      <c r="H144" s="9"/>
      <c r="I144" s="10"/>
      <c r="J144" s="9"/>
      <c r="K144" s="9"/>
      <c r="L144" s="9"/>
      <c r="M144" s="12"/>
      <c r="N144" s="12"/>
      <c r="O144" s="9"/>
      <c r="P144" s="9"/>
      <c r="Q144" s="35" t="s">
        <v>633</v>
      </c>
      <c r="R144" s="35" t="s">
        <v>634</v>
      </c>
      <c r="S144" s="9"/>
      <c r="T144" s="35" t="s">
        <v>645</v>
      </c>
      <c r="U144" s="35" t="s">
        <v>646</v>
      </c>
      <c r="V144" s="9"/>
      <c r="W144" s="9"/>
      <c r="X144" s="9"/>
      <c r="Y144" s="9"/>
      <c r="Z144" s="9"/>
      <c r="AA144" s="9"/>
      <c r="AB144" s="9"/>
      <c r="AC144" s="9"/>
      <c r="AD144" s="35" t="s">
        <v>623</v>
      </c>
      <c r="AE144" s="35" t="s">
        <v>624</v>
      </c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112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</row>
    <row r="145" ht="15.0" customHeight="1">
      <c r="A145" s="9"/>
      <c r="B145" s="22" t="s">
        <v>752</v>
      </c>
      <c r="C145" s="24">
        <v>36.543</v>
      </c>
      <c r="D145" s="90"/>
      <c r="E145" s="35" t="s">
        <v>648</v>
      </c>
      <c r="F145" s="35" t="s">
        <v>273</v>
      </c>
      <c r="G145" s="9"/>
      <c r="H145" s="9"/>
      <c r="I145" s="10"/>
      <c r="J145" s="9"/>
      <c r="K145" s="9"/>
      <c r="L145" s="9"/>
      <c r="M145" s="12"/>
      <c r="N145" s="12"/>
      <c r="O145" s="9"/>
      <c r="P145" s="9"/>
      <c r="Q145" s="35" t="s">
        <v>636</v>
      </c>
      <c r="R145" s="35" t="s">
        <v>637</v>
      </c>
      <c r="S145" s="9"/>
      <c r="T145" s="35" t="s">
        <v>648</v>
      </c>
      <c r="U145" s="35" t="s">
        <v>273</v>
      </c>
      <c r="V145" s="9"/>
      <c r="W145" s="9"/>
      <c r="X145" s="9"/>
      <c r="Y145" s="9"/>
      <c r="Z145" s="9"/>
      <c r="AA145" s="9"/>
      <c r="AB145" s="9"/>
      <c r="AC145" s="9"/>
      <c r="AD145" s="35" t="s">
        <v>628</v>
      </c>
      <c r="AE145" s="35" t="s">
        <v>629</v>
      </c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112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</row>
    <row r="146" ht="15.0" customHeight="1">
      <c r="A146" s="9"/>
      <c r="B146" s="22" t="s">
        <v>753</v>
      </c>
      <c r="C146" s="24">
        <v>36.543</v>
      </c>
      <c r="D146" s="90"/>
      <c r="E146" s="35" t="s">
        <v>652</v>
      </c>
      <c r="F146" s="35" t="s">
        <v>281</v>
      </c>
      <c r="G146" s="9"/>
      <c r="H146" s="9"/>
      <c r="I146" s="10"/>
      <c r="J146" s="9"/>
      <c r="K146" s="9"/>
      <c r="L146" s="9"/>
      <c r="M146" s="12"/>
      <c r="N146" s="12"/>
      <c r="O146" s="9"/>
      <c r="P146" s="9"/>
      <c r="Q146" s="35" t="s">
        <v>639</v>
      </c>
      <c r="R146" s="35" t="s">
        <v>640</v>
      </c>
      <c r="S146" s="9"/>
      <c r="T146" s="35" t="s">
        <v>652</v>
      </c>
      <c r="U146" s="35" t="s">
        <v>281</v>
      </c>
      <c r="V146" s="9"/>
      <c r="W146" s="9"/>
      <c r="X146" s="9"/>
      <c r="Y146" s="9"/>
      <c r="Z146" s="9"/>
      <c r="AA146" s="9"/>
      <c r="AB146" s="9"/>
      <c r="AC146" s="9"/>
      <c r="AD146" s="35" t="s">
        <v>633</v>
      </c>
      <c r="AE146" s="35" t="s">
        <v>634</v>
      </c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112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</row>
    <row r="147" ht="15.0" customHeight="1">
      <c r="A147" s="9"/>
      <c r="B147" s="22" t="s">
        <v>754</v>
      </c>
      <c r="C147" s="24">
        <v>41.111</v>
      </c>
      <c r="D147" s="90"/>
      <c r="E147" s="35" t="s">
        <v>755</v>
      </c>
      <c r="F147" s="35" t="s">
        <v>756</v>
      </c>
      <c r="G147" s="9"/>
      <c r="H147" s="9"/>
      <c r="I147" s="10"/>
      <c r="J147" s="9"/>
      <c r="K147" s="9"/>
      <c r="L147" s="9"/>
      <c r="M147" s="12"/>
      <c r="N147" s="12"/>
      <c r="O147" s="9"/>
      <c r="P147" s="9"/>
      <c r="Q147" s="35" t="s">
        <v>748</v>
      </c>
      <c r="R147" s="35" t="s">
        <v>749</v>
      </c>
      <c r="S147" s="9"/>
      <c r="T147" s="35" t="s">
        <v>755</v>
      </c>
      <c r="U147" s="35" t="s">
        <v>756</v>
      </c>
      <c r="V147" s="9"/>
      <c r="W147" s="9"/>
      <c r="X147" s="9"/>
      <c r="Y147" s="9"/>
      <c r="Z147" s="9"/>
      <c r="AA147" s="9"/>
      <c r="AB147" s="9"/>
      <c r="AC147" s="9"/>
      <c r="AD147" s="35" t="s">
        <v>636</v>
      </c>
      <c r="AE147" s="35" t="s">
        <v>637</v>
      </c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112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</row>
    <row r="148" ht="15.0" customHeight="1">
      <c r="A148" s="9"/>
      <c r="B148" s="22" t="s">
        <v>757</v>
      </c>
      <c r="C148" s="24">
        <v>41.111</v>
      </c>
      <c r="D148" s="90"/>
      <c r="E148" s="35" t="s">
        <v>758</v>
      </c>
      <c r="F148" s="35" t="s">
        <v>759</v>
      </c>
      <c r="G148" s="9"/>
      <c r="H148" s="9"/>
      <c r="I148" s="10"/>
      <c r="J148" s="9"/>
      <c r="K148" s="9"/>
      <c r="L148" s="9"/>
      <c r="M148" s="12"/>
      <c r="N148" s="12"/>
      <c r="O148" s="9"/>
      <c r="P148" s="9"/>
      <c r="Q148" s="35" t="s">
        <v>642</v>
      </c>
      <c r="R148" s="35" t="s">
        <v>643</v>
      </c>
      <c r="S148" s="9"/>
      <c r="T148" s="35" t="s">
        <v>758</v>
      </c>
      <c r="U148" s="35" t="s">
        <v>759</v>
      </c>
      <c r="V148" s="9"/>
      <c r="W148" s="9"/>
      <c r="X148" s="9"/>
      <c r="Y148" s="9"/>
      <c r="Z148" s="9"/>
      <c r="AA148" s="9"/>
      <c r="AB148" s="9"/>
      <c r="AC148" s="9"/>
      <c r="AD148" s="35" t="s">
        <v>639</v>
      </c>
      <c r="AE148" s="35" t="s">
        <v>640</v>
      </c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112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</row>
    <row r="149" ht="15.0" customHeight="1">
      <c r="A149" s="9"/>
      <c r="B149" s="22" t="s">
        <v>760</v>
      </c>
      <c r="C149" s="24">
        <v>41.111</v>
      </c>
      <c r="D149" s="90"/>
      <c r="E149" s="35" t="s">
        <v>761</v>
      </c>
      <c r="F149" s="35" t="s">
        <v>762</v>
      </c>
      <c r="G149" s="9"/>
      <c r="H149" s="9"/>
      <c r="I149" s="10"/>
      <c r="J149" s="9"/>
      <c r="K149" s="9"/>
      <c r="L149" s="9"/>
      <c r="M149" s="12"/>
      <c r="N149" s="12"/>
      <c r="O149" s="9"/>
      <c r="P149" s="9"/>
      <c r="Q149" s="35" t="s">
        <v>645</v>
      </c>
      <c r="R149" s="35" t="s">
        <v>646</v>
      </c>
      <c r="S149" s="9"/>
      <c r="T149" s="35" t="s">
        <v>761</v>
      </c>
      <c r="U149" s="35" t="s">
        <v>762</v>
      </c>
      <c r="V149" s="9"/>
      <c r="W149" s="9"/>
      <c r="X149" s="9"/>
      <c r="Y149" s="9"/>
      <c r="Z149" s="9"/>
      <c r="AA149" s="9"/>
      <c r="AB149" s="9"/>
      <c r="AC149" s="9"/>
      <c r="AD149" s="35" t="s">
        <v>748</v>
      </c>
      <c r="AE149" s="35" t="s">
        <v>749</v>
      </c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112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</row>
    <row r="150" ht="15.0" customHeight="1">
      <c r="A150" s="9"/>
      <c r="B150" s="22" t="s">
        <v>763</v>
      </c>
      <c r="C150" s="24">
        <v>44.808</v>
      </c>
      <c r="D150" s="90"/>
      <c r="E150" s="35" t="s">
        <v>656</v>
      </c>
      <c r="F150" s="35" t="s">
        <v>657</v>
      </c>
      <c r="G150" s="9"/>
      <c r="H150" s="9"/>
      <c r="I150" s="10"/>
      <c r="J150" s="9"/>
      <c r="K150" s="9"/>
      <c r="L150" s="9"/>
      <c r="M150" s="12"/>
      <c r="N150" s="12"/>
      <c r="O150" s="9"/>
      <c r="P150" s="9"/>
      <c r="Q150" s="35" t="s">
        <v>648</v>
      </c>
      <c r="R150" s="35" t="s">
        <v>273</v>
      </c>
      <c r="S150" s="9"/>
      <c r="T150" s="35" t="s">
        <v>656</v>
      </c>
      <c r="U150" s="35" t="s">
        <v>657</v>
      </c>
      <c r="V150" s="9"/>
      <c r="W150" s="9"/>
      <c r="X150" s="9"/>
      <c r="Y150" s="9"/>
      <c r="Z150" s="9"/>
      <c r="AA150" s="9"/>
      <c r="AB150" s="9"/>
      <c r="AC150" s="9"/>
      <c r="AD150" s="35" t="s">
        <v>642</v>
      </c>
      <c r="AE150" s="35" t="s">
        <v>643</v>
      </c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112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</row>
    <row r="151" ht="15.0" customHeight="1">
      <c r="A151" s="9"/>
      <c r="B151" s="22" t="s">
        <v>764</v>
      </c>
      <c r="C151" s="24">
        <v>44.808</v>
      </c>
      <c r="D151" s="90"/>
      <c r="E151" s="35" t="s">
        <v>765</v>
      </c>
      <c r="F151" s="35" t="s">
        <v>354</v>
      </c>
      <c r="G151" s="9"/>
      <c r="H151" s="9"/>
      <c r="I151" s="10"/>
      <c r="J151" s="9"/>
      <c r="K151" s="9"/>
      <c r="L151" s="9"/>
      <c r="M151" s="12"/>
      <c r="N151" s="12"/>
      <c r="O151" s="9"/>
      <c r="P151" s="9"/>
      <c r="Q151" s="35" t="s">
        <v>652</v>
      </c>
      <c r="R151" s="35" t="s">
        <v>281</v>
      </c>
      <c r="S151" s="9"/>
      <c r="T151" s="35" t="s">
        <v>765</v>
      </c>
      <c r="U151" s="35" t="s">
        <v>354</v>
      </c>
      <c r="V151" s="9"/>
      <c r="W151" s="9"/>
      <c r="X151" s="9"/>
      <c r="Y151" s="9"/>
      <c r="Z151" s="9"/>
      <c r="AA151" s="9"/>
      <c r="AB151" s="9"/>
      <c r="AC151" s="9"/>
      <c r="AD151" s="35" t="s">
        <v>645</v>
      </c>
      <c r="AE151" s="35" t="s">
        <v>646</v>
      </c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112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</row>
    <row r="152" ht="15.0" customHeight="1">
      <c r="A152" s="9"/>
      <c r="B152" s="22" t="s">
        <v>766</v>
      </c>
      <c r="C152" s="24">
        <v>44.808</v>
      </c>
      <c r="D152" s="90"/>
      <c r="E152" s="35" t="s">
        <v>659</v>
      </c>
      <c r="F152" s="35" t="s">
        <v>660</v>
      </c>
      <c r="G152" s="9"/>
      <c r="H152" s="9"/>
      <c r="I152" s="10"/>
      <c r="J152" s="9"/>
      <c r="K152" s="9"/>
      <c r="L152" s="9"/>
      <c r="M152" s="12"/>
      <c r="N152" s="12"/>
      <c r="O152" s="9"/>
      <c r="P152" s="9"/>
      <c r="Q152" s="35" t="s">
        <v>755</v>
      </c>
      <c r="R152" s="35" t="s">
        <v>756</v>
      </c>
      <c r="S152" s="9"/>
      <c r="T152" s="35" t="s">
        <v>659</v>
      </c>
      <c r="U152" s="35" t="s">
        <v>660</v>
      </c>
      <c r="V152" s="9"/>
      <c r="W152" s="9"/>
      <c r="X152" s="9"/>
      <c r="Y152" s="9"/>
      <c r="Z152" s="9"/>
      <c r="AA152" s="9"/>
      <c r="AB152" s="9"/>
      <c r="AC152" s="9"/>
      <c r="AD152" s="35" t="s">
        <v>648</v>
      </c>
      <c r="AE152" s="35" t="s">
        <v>273</v>
      </c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112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</row>
    <row r="153" ht="15.0" customHeight="1">
      <c r="A153" s="9"/>
      <c r="B153" s="22" t="s">
        <v>767</v>
      </c>
      <c r="C153" s="24">
        <v>49.872</v>
      </c>
      <c r="D153" s="90"/>
      <c r="E153" s="35" t="s">
        <v>662</v>
      </c>
      <c r="F153" s="35" t="s">
        <v>289</v>
      </c>
      <c r="G153" s="9"/>
      <c r="H153" s="9"/>
      <c r="I153" s="10"/>
      <c r="J153" s="9"/>
      <c r="K153" s="9"/>
      <c r="L153" s="9"/>
      <c r="M153" s="12"/>
      <c r="N153" s="12"/>
      <c r="O153" s="9"/>
      <c r="P153" s="9"/>
      <c r="Q153" s="35" t="s">
        <v>758</v>
      </c>
      <c r="R153" s="35" t="s">
        <v>759</v>
      </c>
      <c r="S153" s="9"/>
      <c r="T153" s="35" t="s">
        <v>662</v>
      </c>
      <c r="U153" s="35" t="s">
        <v>289</v>
      </c>
      <c r="V153" s="9"/>
      <c r="W153" s="9"/>
      <c r="X153" s="9"/>
      <c r="Y153" s="9"/>
      <c r="Z153" s="9"/>
      <c r="AA153" s="9"/>
      <c r="AB153" s="9"/>
      <c r="AC153" s="9"/>
      <c r="AD153" s="35" t="s">
        <v>652</v>
      </c>
      <c r="AE153" s="35" t="s">
        <v>281</v>
      </c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112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</row>
    <row r="154" ht="15.0" customHeight="1">
      <c r="A154" s="9"/>
      <c r="B154" s="22" t="s">
        <v>768</v>
      </c>
      <c r="C154" s="24">
        <v>49.872</v>
      </c>
      <c r="D154" s="90"/>
      <c r="E154" s="114" t="s">
        <v>663</v>
      </c>
      <c r="F154" s="114" t="s">
        <v>297</v>
      </c>
      <c r="G154" s="9"/>
      <c r="H154" s="9"/>
      <c r="I154" s="10"/>
      <c r="J154" s="9"/>
      <c r="K154" s="9"/>
      <c r="L154" s="9"/>
      <c r="M154" s="12"/>
      <c r="N154" s="12"/>
      <c r="O154" s="9"/>
      <c r="P154" s="9"/>
      <c r="Q154" s="35" t="s">
        <v>761</v>
      </c>
      <c r="R154" s="35" t="s">
        <v>762</v>
      </c>
      <c r="S154" s="9"/>
      <c r="T154" s="114" t="s">
        <v>663</v>
      </c>
      <c r="U154" s="114" t="s">
        <v>297</v>
      </c>
      <c r="V154" s="9"/>
      <c r="W154" s="9"/>
      <c r="X154" s="9"/>
      <c r="Y154" s="9"/>
      <c r="Z154" s="9"/>
      <c r="AA154" s="9"/>
      <c r="AB154" s="9"/>
      <c r="AC154" s="9"/>
      <c r="AD154" s="35" t="s">
        <v>755</v>
      </c>
      <c r="AE154" s="35" t="s">
        <v>756</v>
      </c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112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</row>
    <row r="155" ht="15.0" customHeight="1">
      <c r="A155" s="9"/>
      <c r="B155" s="22" t="s">
        <v>769</v>
      </c>
      <c r="C155" s="24">
        <v>49.872</v>
      </c>
      <c r="D155" s="90"/>
      <c r="E155" s="35" t="s">
        <v>666</v>
      </c>
      <c r="F155" s="35" t="s">
        <v>360</v>
      </c>
      <c r="G155" s="9"/>
      <c r="H155" s="9"/>
      <c r="I155" s="10"/>
      <c r="J155" s="9"/>
      <c r="K155" s="9"/>
      <c r="L155" s="9"/>
      <c r="M155" s="12"/>
      <c r="N155" s="12"/>
      <c r="O155" s="9"/>
      <c r="P155" s="9"/>
      <c r="Q155" s="35" t="s">
        <v>656</v>
      </c>
      <c r="R155" s="35" t="s">
        <v>657</v>
      </c>
      <c r="S155" s="9"/>
      <c r="T155" s="35" t="s">
        <v>666</v>
      </c>
      <c r="U155" s="35" t="s">
        <v>360</v>
      </c>
      <c r="V155" s="9"/>
      <c r="W155" s="9"/>
      <c r="X155" s="9"/>
      <c r="Y155" s="9"/>
      <c r="Z155" s="9"/>
      <c r="AA155" s="9"/>
      <c r="AB155" s="9"/>
      <c r="AC155" s="9"/>
      <c r="AD155" s="35" t="s">
        <v>758</v>
      </c>
      <c r="AE155" s="35" t="s">
        <v>759</v>
      </c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112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</row>
    <row r="156" ht="15.0" customHeight="1">
      <c r="A156" s="9"/>
      <c r="B156" s="22" t="s">
        <v>770</v>
      </c>
      <c r="C156" s="24">
        <v>49.872</v>
      </c>
      <c r="D156" s="90"/>
      <c r="E156" s="35" t="s">
        <v>668</v>
      </c>
      <c r="F156" s="35" t="s">
        <v>306</v>
      </c>
      <c r="G156" s="9"/>
      <c r="H156" s="9"/>
      <c r="I156" s="10"/>
      <c r="J156" s="9"/>
      <c r="K156" s="9"/>
      <c r="L156" s="9"/>
      <c r="M156" s="12"/>
      <c r="N156" s="12"/>
      <c r="O156" s="9"/>
      <c r="P156" s="9"/>
      <c r="Q156" s="35" t="s">
        <v>765</v>
      </c>
      <c r="R156" s="35" t="s">
        <v>354</v>
      </c>
      <c r="S156" s="9"/>
      <c r="T156" s="35" t="s">
        <v>668</v>
      </c>
      <c r="U156" s="35" t="s">
        <v>306</v>
      </c>
      <c r="V156" s="9"/>
      <c r="W156" s="9"/>
      <c r="X156" s="9"/>
      <c r="Y156" s="9"/>
      <c r="Z156" s="9"/>
      <c r="AA156" s="9"/>
      <c r="AB156" s="9"/>
      <c r="AC156" s="9"/>
      <c r="AD156" s="35" t="s">
        <v>761</v>
      </c>
      <c r="AE156" s="35" t="s">
        <v>762</v>
      </c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112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</row>
    <row r="157" ht="15.0" customHeight="1">
      <c r="A157" s="9"/>
      <c r="B157" s="22" t="s">
        <v>771</v>
      </c>
      <c r="C157" s="24">
        <v>56.106</v>
      </c>
      <c r="D157" s="90"/>
      <c r="E157" s="35" t="s">
        <v>670</v>
      </c>
      <c r="F157" s="35" t="s">
        <v>314</v>
      </c>
      <c r="G157" s="9"/>
      <c r="H157" s="9"/>
      <c r="I157" s="10"/>
      <c r="J157" s="9"/>
      <c r="K157" s="9"/>
      <c r="L157" s="9"/>
      <c r="M157" s="12"/>
      <c r="N157" s="12"/>
      <c r="O157" s="9"/>
      <c r="P157" s="9"/>
      <c r="Q157" s="35" t="s">
        <v>659</v>
      </c>
      <c r="R157" s="35" t="s">
        <v>660</v>
      </c>
      <c r="S157" s="9"/>
      <c r="T157" s="35" t="s">
        <v>670</v>
      </c>
      <c r="U157" s="35" t="s">
        <v>314</v>
      </c>
      <c r="V157" s="9"/>
      <c r="W157" s="9"/>
      <c r="X157" s="9"/>
      <c r="Y157" s="9"/>
      <c r="Z157" s="9"/>
      <c r="AA157" s="9"/>
      <c r="AB157" s="9"/>
      <c r="AC157" s="9"/>
      <c r="AD157" s="35" t="s">
        <v>656</v>
      </c>
      <c r="AE157" s="35" t="s">
        <v>657</v>
      </c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112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</row>
    <row r="158" ht="15.0" customHeight="1">
      <c r="A158" s="9"/>
      <c r="B158" s="22" t="s">
        <v>772</v>
      </c>
      <c r="C158" s="24">
        <v>56.106</v>
      </c>
      <c r="D158" s="90"/>
      <c r="E158" s="35" t="s">
        <v>672</v>
      </c>
      <c r="F158" s="35" t="s">
        <v>321</v>
      </c>
      <c r="G158" s="9"/>
      <c r="H158" s="9"/>
      <c r="I158" s="10"/>
      <c r="J158" s="9"/>
      <c r="K158" s="9"/>
      <c r="L158" s="9"/>
      <c r="M158" s="12"/>
      <c r="N158" s="12"/>
      <c r="O158" s="9"/>
      <c r="P158" s="9"/>
      <c r="Q158" s="35" t="s">
        <v>662</v>
      </c>
      <c r="R158" s="35" t="s">
        <v>289</v>
      </c>
      <c r="S158" s="9"/>
      <c r="T158" s="35" t="s">
        <v>672</v>
      </c>
      <c r="U158" s="35" t="s">
        <v>321</v>
      </c>
      <c r="V158" s="9"/>
      <c r="W158" s="9"/>
      <c r="X158" s="9"/>
      <c r="Y158" s="9"/>
      <c r="Z158" s="9"/>
      <c r="AA158" s="9"/>
      <c r="AB158" s="9"/>
      <c r="AC158" s="9"/>
      <c r="AD158" s="35" t="s">
        <v>765</v>
      </c>
      <c r="AE158" s="35" t="s">
        <v>354</v>
      </c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112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</row>
    <row r="159" ht="15.0" customHeight="1">
      <c r="A159" s="9"/>
      <c r="B159" s="22" t="s">
        <v>773</v>
      </c>
      <c r="C159" s="24">
        <v>56.106</v>
      </c>
      <c r="D159" s="90"/>
      <c r="E159" s="35" t="s">
        <v>674</v>
      </c>
      <c r="F159" s="35" t="s">
        <v>332</v>
      </c>
      <c r="G159" s="9"/>
      <c r="H159" s="9"/>
      <c r="I159" s="10"/>
      <c r="J159" s="9"/>
      <c r="K159" s="9"/>
      <c r="L159" s="9"/>
      <c r="M159" s="12"/>
      <c r="N159" s="12"/>
      <c r="O159" s="9"/>
      <c r="P159" s="9"/>
      <c r="Q159" s="114" t="s">
        <v>663</v>
      </c>
      <c r="R159" s="114" t="s">
        <v>297</v>
      </c>
      <c r="S159" s="9"/>
      <c r="T159" s="35" t="s">
        <v>674</v>
      </c>
      <c r="U159" s="35" t="s">
        <v>332</v>
      </c>
      <c r="V159" s="9"/>
      <c r="W159" s="9"/>
      <c r="X159" s="9"/>
      <c r="Y159" s="9"/>
      <c r="Z159" s="9"/>
      <c r="AA159" s="9"/>
      <c r="AB159" s="9"/>
      <c r="AC159" s="9"/>
      <c r="AD159" s="35" t="s">
        <v>659</v>
      </c>
      <c r="AE159" s="35" t="s">
        <v>660</v>
      </c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112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</row>
    <row r="160" ht="15.0" customHeight="1">
      <c r="A160" s="9"/>
      <c r="B160" s="22" t="s">
        <v>774</v>
      </c>
      <c r="C160" s="24">
        <v>56.106</v>
      </c>
      <c r="D160" s="90"/>
      <c r="E160" s="35" t="s">
        <v>676</v>
      </c>
      <c r="F160" s="35" t="s">
        <v>677</v>
      </c>
      <c r="G160" s="9"/>
      <c r="H160" s="9"/>
      <c r="I160" s="10"/>
      <c r="J160" s="9"/>
      <c r="K160" s="9"/>
      <c r="L160" s="9"/>
      <c r="M160" s="12"/>
      <c r="N160" s="12"/>
      <c r="O160" s="9"/>
      <c r="P160" s="9"/>
      <c r="Q160" s="35" t="s">
        <v>666</v>
      </c>
      <c r="R160" s="35" t="s">
        <v>360</v>
      </c>
      <c r="S160" s="9"/>
      <c r="T160" s="35" t="s">
        <v>676</v>
      </c>
      <c r="U160" s="35" t="s">
        <v>677</v>
      </c>
      <c r="V160" s="9"/>
      <c r="W160" s="9"/>
      <c r="X160" s="9"/>
      <c r="Y160" s="9"/>
      <c r="Z160" s="9"/>
      <c r="AA160" s="9"/>
      <c r="AB160" s="9"/>
      <c r="AC160" s="9"/>
      <c r="AD160" s="35" t="s">
        <v>662</v>
      </c>
      <c r="AE160" s="35" t="s">
        <v>289</v>
      </c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112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</row>
    <row r="161" ht="15.0" customHeight="1">
      <c r="A161" s="9"/>
      <c r="B161" s="22" t="s">
        <v>775</v>
      </c>
      <c r="C161" s="24">
        <v>52.725</v>
      </c>
      <c r="D161" s="90"/>
      <c r="E161" s="35" t="s">
        <v>679</v>
      </c>
      <c r="F161" s="35" t="s">
        <v>680</v>
      </c>
      <c r="G161" s="9"/>
      <c r="H161" s="9"/>
      <c r="I161" s="10"/>
      <c r="J161" s="9"/>
      <c r="K161" s="9"/>
      <c r="L161" s="9"/>
      <c r="M161" s="12"/>
      <c r="N161" s="12"/>
      <c r="O161" s="9"/>
      <c r="P161" s="9"/>
      <c r="Q161" s="35" t="s">
        <v>668</v>
      </c>
      <c r="R161" s="35" t="s">
        <v>306</v>
      </c>
      <c r="S161" s="9"/>
      <c r="T161" s="35" t="s">
        <v>679</v>
      </c>
      <c r="U161" s="35" t="s">
        <v>680</v>
      </c>
      <c r="V161" s="9"/>
      <c r="W161" s="9"/>
      <c r="X161" s="9"/>
      <c r="Y161" s="9"/>
      <c r="Z161" s="9"/>
      <c r="AA161" s="9"/>
      <c r="AB161" s="9"/>
      <c r="AC161" s="9"/>
      <c r="AD161" s="114" t="s">
        <v>663</v>
      </c>
      <c r="AE161" s="114" t="s">
        <v>297</v>
      </c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112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</row>
    <row r="162" ht="15.0" customHeight="1">
      <c r="A162" s="9"/>
      <c r="B162" s="22" t="s">
        <v>776</v>
      </c>
      <c r="C162" s="24">
        <v>52.725</v>
      </c>
      <c r="D162" s="90"/>
      <c r="E162" s="35" t="s">
        <v>777</v>
      </c>
      <c r="F162" s="35" t="s">
        <v>778</v>
      </c>
      <c r="G162" s="9"/>
      <c r="H162" s="9"/>
      <c r="I162" s="10"/>
      <c r="J162" s="9"/>
      <c r="K162" s="9"/>
      <c r="L162" s="9"/>
      <c r="M162" s="12"/>
      <c r="N162" s="12"/>
      <c r="O162" s="9"/>
      <c r="P162" s="9"/>
      <c r="Q162" s="35" t="s">
        <v>670</v>
      </c>
      <c r="R162" s="35" t="s">
        <v>314</v>
      </c>
      <c r="S162" s="9"/>
      <c r="T162" s="35" t="s">
        <v>777</v>
      </c>
      <c r="U162" s="35" t="s">
        <v>778</v>
      </c>
      <c r="V162" s="9"/>
      <c r="W162" s="9"/>
      <c r="X162" s="9"/>
      <c r="Y162" s="9"/>
      <c r="Z162" s="9"/>
      <c r="AA162" s="9"/>
      <c r="AB162" s="9"/>
      <c r="AC162" s="9"/>
      <c r="AD162" s="35" t="s">
        <v>666</v>
      </c>
      <c r="AE162" s="35" t="s">
        <v>360</v>
      </c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112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</row>
    <row r="163" ht="15.0" customHeight="1">
      <c r="A163" s="9"/>
      <c r="B163" s="22" t="s">
        <v>779</v>
      </c>
      <c r="C163" s="24">
        <v>52.725</v>
      </c>
      <c r="D163" s="16"/>
      <c r="E163" s="35" t="s">
        <v>686</v>
      </c>
      <c r="F163" s="35" t="s">
        <v>687</v>
      </c>
      <c r="G163" s="9"/>
      <c r="H163" s="9"/>
      <c r="I163" s="10"/>
      <c r="J163" s="9"/>
      <c r="K163" s="9"/>
      <c r="L163" s="9"/>
      <c r="M163" s="12"/>
      <c r="N163" s="12"/>
      <c r="O163" s="9"/>
      <c r="P163" s="9"/>
      <c r="Q163" s="35" t="s">
        <v>672</v>
      </c>
      <c r="R163" s="35" t="s">
        <v>321</v>
      </c>
      <c r="S163" s="9"/>
      <c r="T163" s="35" t="s">
        <v>686</v>
      </c>
      <c r="U163" s="35" t="s">
        <v>687</v>
      </c>
      <c r="V163" s="9"/>
      <c r="W163" s="9"/>
      <c r="X163" s="9"/>
      <c r="Y163" s="9"/>
      <c r="Z163" s="9"/>
      <c r="AA163" s="9"/>
      <c r="AB163" s="9"/>
      <c r="AC163" s="9"/>
      <c r="AD163" s="35" t="s">
        <v>668</v>
      </c>
      <c r="AE163" s="35" t="s">
        <v>306</v>
      </c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112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</row>
    <row r="164" ht="15.0" customHeight="1">
      <c r="A164" s="9"/>
      <c r="B164" s="22" t="s">
        <v>780</v>
      </c>
      <c r="C164" s="24">
        <v>52.725</v>
      </c>
      <c r="D164" s="16"/>
      <c r="E164" s="35" t="s">
        <v>689</v>
      </c>
      <c r="F164" s="35" t="s">
        <v>690</v>
      </c>
      <c r="G164" s="9"/>
      <c r="H164" s="9"/>
      <c r="I164" s="10"/>
      <c r="J164" s="9"/>
      <c r="K164" s="9"/>
      <c r="L164" s="9"/>
      <c r="M164" s="12"/>
      <c r="N164" s="12"/>
      <c r="O164" s="9"/>
      <c r="P164" s="9"/>
      <c r="Q164" s="35" t="s">
        <v>674</v>
      </c>
      <c r="R164" s="35" t="s">
        <v>332</v>
      </c>
      <c r="S164" s="9"/>
      <c r="T164" s="35" t="s">
        <v>689</v>
      </c>
      <c r="U164" s="35" t="s">
        <v>690</v>
      </c>
      <c r="V164" s="9"/>
      <c r="W164" s="9"/>
      <c r="X164" s="9"/>
      <c r="Y164" s="9"/>
      <c r="Z164" s="9"/>
      <c r="AA164" s="9"/>
      <c r="AB164" s="9"/>
      <c r="AC164" s="9"/>
      <c r="AD164" s="35" t="s">
        <v>670</v>
      </c>
      <c r="AE164" s="35" t="s">
        <v>314</v>
      </c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112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</row>
    <row r="165" ht="15.0" customHeight="1">
      <c r="A165" s="9"/>
      <c r="B165" s="22" t="s">
        <v>781</v>
      </c>
      <c r="C165" s="24">
        <v>53.69</v>
      </c>
      <c r="D165" s="16"/>
      <c r="E165" s="35" t="s">
        <v>694</v>
      </c>
      <c r="F165" s="35" t="s">
        <v>695</v>
      </c>
      <c r="G165" s="9"/>
      <c r="H165" s="9"/>
      <c r="I165" s="10"/>
      <c r="J165" s="9"/>
      <c r="K165" s="9"/>
      <c r="L165" s="9"/>
      <c r="M165" s="12"/>
      <c r="N165" s="12"/>
      <c r="O165" s="9"/>
      <c r="P165" s="9"/>
      <c r="Q165" s="35" t="s">
        <v>676</v>
      </c>
      <c r="R165" s="35" t="s">
        <v>677</v>
      </c>
      <c r="S165" s="9"/>
      <c r="T165" s="35" t="s">
        <v>694</v>
      </c>
      <c r="U165" s="35" t="s">
        <v>695</v>
      </c>
      <c r="V165" s="9"/>
      <c r="W165" s="9"/>
      <c r="X165" s="9"/>
      <c r="Y165" s="9"/>
      <c r="Z165" s="9"/>
      <c r="AA165" s="9"/>
      <c r="AB165" s="9"/>
      <c r="AC165" s="9"/>
      <c r="AD165" s="35" t="s">
        <v>672</v>
      </c>
      <c r="AE165" s="35" t="s">
        <v>321</v>
      </c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112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</row>
    <row r="166" ht="15.0" customHeight="1">
      <c r="A166" s="9"/>
      <c r="B166" s="22" t="s">
        <v>782</v>
      </c>
      <c r="C166" s="24">
        <v>53.69</v>
      </c>
      <c r="D166" s="90"/>
      <c r="E166" s="35" t="s">
        <v>697</v>
      </c>
      <c r="F166" s="35" t="s">
        <v>698</v>
      </c>
      <c r="G166" s="9"/>
      <c r="H166" s="9"/>
      <c r="I166" s="10"/>
      <c r="J166" s="9"/>
      <c r="K166" s="9"/>
      <c r="L166" s="9"/>
      <c r="M166" s="12"/>
      <c r="N166" s="12"/>
      <c r="O166" s="9"/>
      <c r="P166" s="9"/>
      <c r="Q166" s="35" t="s">
        <v>679</v>
      </c>
      <c r="R166" s="35" t="s">
        <v>680</v>
      </c>
      <c r="S166" s="9"/>
      <c r="T166" s="35" t="s">
        <v>697</v>
      </c>
      <c r="U166" s="35" t="s">
        <v>698</v>
      </c>
      <c r="V166" s="9"/>
      <c r="W166" s="9"/>
      <c r="X166" s="9"/>
      <c r="Y166" s="9"/>
      <c r="Z166" s="9"/>
      <c r="AA166" s="9"/>
      <c r="AB166" s="9"/>
      <c r="AC166" s="9"/>
      <c r="AD166" s="35" t="s">
        <v>674</v>
      </c>
      <c r="AE166" s="35" t="s">
        <v>332</v>
      </c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112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</row>
    <row r="167" ht="15.0" customHeight="1">
      <c r="A167" s="9"/>
      <c r="B167" s="22" t="s">
        <v>783</v>
      </c>
      <c r="C167" s="24">
        <v>53.69</v>
      </c>
      <c r="D167" s="90"/>
      <c r="E167" s="35" t="s">
        <v>702</v>
      </c>
      <c r="F167" s="35" t="s">
        <v>703</v>
      </c>
      <c r="G167" s="9"/>
      <c r="H167" s="9"/>
      <c r="I167" s="10"/>
      <c r="J167" s="9"/>
      <c r="K167" s="9"/>
      <c r="L167" s="9"/>
      <c r="M167" s="12"/>
      <c r="N167" s="12"/>
      <c r="O167" s="9"/>
      <c r="P167" s="9"/>
      <c r="Q167" s="35" t="s">
        <v>777</v>
      </c>
      <c r="R167" s="35" t="s">
        <v>778</v>
      </c>
      <c r="S167" s="9"/>
      <c r="T167" s="35" t="s">
        <v>702</v>
      </c>
      <c r="U167" s="35" t="s">
        <v>703</v>
      </c>
      <c r="V167" s="9"/>
      <c r="W167" s="9"/>
      <c r="X167" s="9"/>
      <c r="Y167" s="9"/>
      <c r="Z167" s="9"/>
      <c r="AA167" s="9"/>
      <c r="AB167" s="9"/>
      <c r="AC167" s="9"/>
      <c r="AD167" s="35" t="s">
        <v>676</v>
      </c>
      <c r="AE167" s="35" t="s">
        <v>677</v>
      </c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112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</row>
    <row r="168" ht="15.0" customHeight="1">
      <c r="A168" s="9"/>
      <c r="B168" s="22" t="s">
        <v>784</v>
      </c>
      <c r="C168" s="24">
        <v>53.69</v>
      </c>
      <c r="D168" s="90"/>
      <c r="E168" s="35" t="s">
        <v>705</v>
      </c>
      <c r="F168" s="35" t="s">
        <v>706</v>
      </c>
      <c r="G168" s="9"/>
      <c r="H168" s="9"/>
      <c r="I168" s="10"/>
      <c r="J168" s="9"/>
      <c r="K168" s="9"/>
      <c r="L168" s="9"/>
      <c r="M168" s="12"/>
      <c r="N168" s="12"/>
      <c r="O168" s="9"/>
      <c r="P168" s="9"/>
      <c r="Q168" s="35" t="s">
        <v>682</v>
      </c>
      <c r="R168" s="35" t="s">
        <v>664</v>
      </c>
      <c r="S168" s="9"/>
      <c r="T168" s="35" t="s">
        <v>705</v>
      </c>
      <c r="U168" s="35" t="s">
        <v>706</v>
      </c>
      <c r="V168" s="9"/>
      <c r="W168" s="9"/>
      <c r="X168" s="9"/>
      <c r="Y168" s="9"/>
      <c r="Z168" s="9"/>
      <c r="AA168" s="9"/>
      <c r="AB168" s="9"/>
      <c r="AC168" s="9"/>
      <c r="AD168" s="35" t="s">
        <v>679</v>
      </c>
      <c r="AE168" s="35" t="s">
        <v>680</v>
      </c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112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</row>
    <row r="169" ht="15.0" customHeight="1">
      <c r="A169" s="9"/>
      <c r="B169" s="22" t="s">
        <v>785</v>
      </c>
      <c r="C169" s="24">
        <v>59.316</v>
      </c>
      <c r="D169" s="16"/>
      <c r="E169" s="35" t="s">
        <v>710</v>
      </c>
      <c r="F169" s="35" t="s">
        <v>711</v>
      </c>
      <c r="G169" s="9"/>
      <c r="H169" s="9"/>
      <c r="I169" s="10"/>
      <c r="J169" s="9"/>
      <c r="K169" s="9"/>
      <c r="L169" s="9"/>
      <c r="M169" s="12"/>
      <c r="N169" s="12"/>
      <c r="O169" s="9"/>
      <c r="P169" s="9"/>
      <c r="Q169" s="35" t="s">
        <v>686</v>
      </c>
      <c r="R169" s="35" t="s">
        <v>687</v>
      </c>
      <c r="S169" s="9"/>
      <c r="T169" s="35" t="s">
        <v>710</v>
      </c>
      <c r="U169" s="35" t="s">
        <v>711</v>
      </c>
      <c r="V169" s="9"/>
      <c r="W169" s="9"/>
      <c r="X169" s="9"/>
      <c r="Y169" s="9"/>
      <c r="Z169" s="9"/>
      <c r="AA169" s="9"/>
      <c r="AB169" s="9"/>
      <c r="AC169" s="9"/>
      <c r="AD169" s="35" t="s">
        <v>777</v>
      </c>
      <c r="AE169" s="35" t="s">
        <v>778</v>
      </c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112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</row>
    <row r="170" ht="15.0" customHeight="1">
      <c r="A170" s="9"/>
      <c r="B170" s="22" t="s">
        <v>786</v>
      </c>
      <c r="C170" s="24">
        <v>59.316</v>
      </c>
      <c r="D170" s="16"/>
      <c r="E170" s="35" t="s">
        <v>715</v>
      </c>
      <c r="F170" s="35" t="s">
        <v>716</v>
      </c>
      <c r="G170" s="9"/>
      <c r="H170" s="9"/>
      <c r="I170" s="10"/>
      <c r="J170" s="9"/>
      <c r="K170" s="9"/>
      <c r="L170" s="9"/>
      <c r="M170" s="12"/>
      <c r="N170" s="12"/>
      <c r="O170" s="9"/>
      <c r="P170" s="9"/>
      <c r="Q170" s="35" t="s">
        <v>689</v>
      </c>
      <c r="R170" s="35" t="s">
        <v>690</v>
      </c>
      <c r="S170" s="9"/>
      <c r="T170" s="35" t="s">
        <v>715</v>
      </c>
      <c r="U170" s="35" t="s">
        <v>716</v>
      </c>
      <c r="V170" s="9"/>
      <c r="W170" s="9"/>
      <c r="X170" s="9"/>
      <c r="Y170" s="9"/>
      <c r="Z170" s="9"/>
      <c r="AA170" s="9"/>
      <c r="AB170" s="9"/>
      <c r="AC170" s="9"/>
      <c r="AD170" s="35" t="s">
        <v>682</v>
      </c>
      <c r="AE170" s="35" t="s">
        <v>664</v>
      </c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112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</row>
    <row r="171" ht="15.0" customHeight="1">
      <c r="A171" s="9"/>
      <c r="B171" s="22" t="s">
        <v>787</v>
      </c>
      <c r="C171" s="24">
        <v>59.316</v>
      </c>
      <c r="D171" s="16"/>
      <c r="E171" s="35" t="s">
        <v>720</v>
      </c>
      <c r="F171" s="35" t="s">
        <v>721</v>
      </c>
      <c r="G171" s="9"/>
      <c r="H171" s="9"/>
      <c r="I171" s="10"/>
      <c r="J171" s="9"/>
      <c r="K171" s="9"/>
      <c r="L171" s="9"/>
      <c r="M171" s="12"/>
      <c r="N171" s="12"/>
      <c r="O171" s="9"/>
      <c r="P171" s="9"/>
      <c r="Q171" s="35" t="s">
        <v>694</v>
      </c>
      <c r="R171" s="35" t="s">
        <v>695</v>
      </c>
      <c r="S171" s="9"/>
      <c r="T171" s="35" t="s">
        <v>720</v>
      </c>
      <c r="U171" s="35" t="s">
        <v>721</v>
      </c>
      <c r="V171" s="9"/>
      <c r="W171" s="9"/>
      <c r="X171" s="9"/>
      <c r="Y171" s="9"/>
      <c r="Z171" s="9"/>
      <c r="AA171" s="9"/>
      <c r="AB171" s="9"/>
      <c r="AC171" s="9"/>
      <c r="AD171" s="35" t="s">
        <v>686</v>
      </c>
      <c r="AE171" s="35" t="s">
        <v>687</v>
      </c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112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</row>
    <row r="172" ht="15.0" customHeight="1">
      <c r="A172" s="9"/>
      <c r="B172" s="22" t="s">
        <v>788</v>
      </c>
      <c r="C172" s="24">
        <v>59.316</v>
      </c>
      <c r="D172" s="90"/>
      <c r="E172" s="35" t="s">
        <v>725</v>
      </c>
      <c r="F172" s="35" t="s">
        <v>726</v>
      </c>
      <c r="G172" s="9"/>
      <c r="H172" s="9"/>
      <c r="I172" s="10"/>
      <c r="J172" s="9"/>
      <c r="K172" s="9"/>
      <c r="L172" s="9"/>
      <c r="M172" s="12"/>
      <c r="N172" s="12"/>
      <c r="O172" s="9"/>
      <c r="P172" s="9"/>
      <c r="Q172" s="35" t="s">
        <v>697</v>
      </c>
      <c r="R172" s="35" t="s">
        <v>698</v>
      </c>
      <c r="S172" s="9"/>
      <c r="T172" s="35" t="s">
        <v>725</v>
      </c>
      <c r="U172" s="35" t="s">
        <v>726</v>
      </c>
      <c r="V172" s="9"/>
      <c r="W172" s="9"/>
      <c r="X172" s="9"/>
      <c r="Y172" s="9"/>
      <c r="Z172" s="9"/>
      <c r="AA172" s="9"/>
      <c r="AB172" s="9"/>
      <c r="AC172" s="9"/>
      <c r="AD172" s="35" t="s">
        <v>689</v>
      </c>
      <c r="AE172" s="35" t="s">
        <v>690</v>
      </c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112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</row>
    <row r="173" ht="15.0" customHeight="1">
      <c r="A173" s="9"/>
      <c r="B173" s="22" t="s">
        <v>789</v>
      </c>
      <c r="C173" s="24">
        <v>60.401</v>
      </c>
      <c r="D173" s="90"/>
      <c r="E173" s="35" t="s">
        <v>728</v>
      </c>
      <c r="F173" s="35" t="s">
        <v>729</v>
      </c>
      <c r="G173" s="9"/>
      <c r="H173" s="9"/>
      <c r="I173" s="10"/>
      <c r="J173" s="9"/>
      <c r="K173" s="9"/>
      <c r="L173" s="9"/>
      <c r="M173" s="12"/>
      <c r="N173" s="12"/>
      <c r="O173" s="9"/>
      <c r="P173" s="9"/>
      <c r="Q173" s="35" t="s">
        <v>702</v>
      </c>
      <c r="R173" s="35" t="s">
        <v>703</v>
      </c>
      <c r="S173" s="9"/>
      <c r="T173" s="35" t="s">
        <v>728</v>
      </c>
      <c r="U173" s="35" t="s">
        <v>729</v>
      </c>
      <c r="V173" s="9"/>
      <c r="W173" s="9"/>
      <c r="X173" s="9"/>
      <c r="Y173" s="9"/>
      <c r="Z173" s="9"/>
      <c r="AA173" s="9"/>
      <c r="AB173" s="9"/>
      <c r="AC173" s="9"/>
      <c r="AD173" s="35" t="s">
        <v>694</v>
      </c>
      <c r="AE173" s="35" t="s">
        <v>695</v>
      </c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112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</row>
    <row r="174" ht="15.0" customHeight="1">
      <c r="A174" s="9"/>
      <c r="B174" s="22" t="s">
        <v>790</v>
      </c>
      <c r="C174" s="24">
        <v>60.401</v>
      </c>
      <c r="D174" s="90"/>
      <c r="E174" s="35" t="s">
        <v>730</v>
      </c>
      <c r="F174" s="35" t="s">
        <v>731</v>
      </c>
      <c r="G174" s="9"/>
      <c r="H174" s="9"/>
      <c r="I174" s="10"/>
      <c r="J174" s="9"/>
      <c r="K174" s="9"/>
      <c r="L174" s="9"/>
      <c r="M174" s="12"/>
      <c r="N174" s="12"/>
      <c r="O174" s="9"/>
      <c r="P174" s="9"/>
      <c r="Q174" s="35" t="s">
        <v>705</v>
      </c>
      <c r="R174" s="35" t="s">
        <v>706</v>
      </c>
      <c r="S174" s="9"/>
      <c r="T174" s="35" t="s">
        <v>730</v>
      </c>
      <c r="U174" s="35" t="s">
        <v>731</v>
      </c>
      <c r="V174" s="9"/>
      <c r="W174" s="9"/>
      <c r="X174" s="9"/>
      <c r="Y174" s="9"/>
      <c r="Z174" s="9"/>
      <c r="AA174" s="9"/>
      <c r="AB174" s="9"/>
      <c r="AC174" s="9"/>
      <c r="AD174" s="35" t="s">
        <v>697</v>
      </c>
      <c r="AE174" s="35" t="s">
        <v>698</v>
      </c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112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</row>
    <row r="175" ht="15.0" customHeight="1">
      <c r="A175" s="9"/>
      <c r="B175" s="22" t="s">
        <v>791</v>
      </c>
      <c r="C175" s="24">
        <v>60.401</v>
      </c>
      <c r="D175" s="16"/>
      <c r="E175" s="35" t="s">
        <v>792</v>
      </c>
      <c r="F175" s="35" t="s">
        <v>793</v>
      </c>
      <c r="G175" s="9"/>
      <c r="H175" s="9"/>
      <c r="I175" s="10"/>
      <c r="J175" s="9"/>
      <c r="K175" s="9"/>
      <c r="L175" s="9"/>
      <c r="M175" s="12"/>
      <c r="N175" s="12"/>
      <c r="O175" s="9"/>
      <c r="P175" s="9"/>
      <c r="Q175" s="35" t="s">
        <v>710</v>
      </c>
      <c r="R175" s="35" t="s">
        <v>711</v>
      </c>
      <c r="S175" s="9"/>
      <c r="T175" s="35" t="s">
        <v>792</v>
      </c>
      <c r="U175" s="35" t="s">
        <v>793</v>
      </c>
      <c r="V175" s="9"/>
      <c r="W175" s="9"/>
      <c r="X175" s="9"/>
      <c r="Y175" s="9"/>
      <c r="Z175" s="9"/>
      <c r="AA175" s="9"/>
      <c r="AB175" s="9"/>
      <c r="AC175" s="9"/>
      <c r="AD175" s="35" t="s">
        <v>702</v>
      </c>
      <c r="AE175" s="35" t="s">
        <v>703</v>
      </c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112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</row>
    <row r="176" ht="15.0" customHeight="1">
      <c r="A176" s="9"/>
      <c r="B176" s="22" t="s">
        <v>794</v>
      </c>
      <c r="C176" s="24">
        <v>60.401</v>
      </c>
      <c r="D176" s="90"/>
      <c r="E176" s="118"/>
      <c r="F176" s="119"/>
      <c r="G176" s="9"/>
      <c r="H176" s="9"/>
      <c r="I176" s="10"/>
      <c r="J176" s="9"/>
      <c r="K176" s="9"/>
      <c r="L176" s="9"/>
      <c r="M176" s="12"/>
      <c r="N176" s="12"/>
      <c r="O176" s="9"/>
      <c r="P176" s="9"/>
      <c r="Q176" s="35" t="s">
        <v>715</v>
      </c>
      <c r="R176" s="35" t="s">
        <v>716</v>
      </c>
      <c r="S176" s="9"/>
      <c r="T176" s="10"/>
      <c r="U176" s="9"/>
      <c r="V176" s="9"/>
      <c r="W176" s="9"/>
      <c r="X176" s="9"/>
      <c r="Y176" s="9"/>
      <c r="Z176" s="9"/>
      <c r="AA176" s="9"/>
      <c r="AB176" s="9"/>
      <c r="AC176" s="9"/>
      <c r="AD176" s="35" t="s">
        <v>705</v>
      </c>
      <c r="AE176" s="35" t="s">
        <v>706</v>
      </c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112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</row>
    <row r="177" ht="15.0" customHeight="1">
      <c r="A177" s="9"/>
      <c r="B177" s="22" t="s">
        <v>795</v>
      </c>
      <c r="C177" s="24">
        <v>73.564</v>
      </c>
      <c r="D177" s="90"/>
      <c r="E177" s="118"/>
      <c r="F177" s="119"/>
      <c r="G177" s="9"/>
      <c r="H177" s="9"/>
      <c r="I177" s="10"/>
      <c r="J177" s="9"/>
      <c r="K177" s="9"/>
      <c r="L177" s="9"/>
      <c r="M177" s="12"/>
      <c r="N177" s="12"/>
      <c r="O177" s="9"/>
      <c r="P177" s="9"/>
      <c r="Q177" s="35" t="s">
        <v>720</v>
      </c>
      <c r="R177" s="35" t="s">
        <v>721</v>
      </c>
      <c r="S177" s="9"/>
      <c r="T177" s="10"/>
      <c r="U177" s="9"/>
      <c r="V177" s="9"/>
      <c r="W177" s="9"/>
      <c r="X177" s="9"/>
      <c r="Y177" s="9"/>
      <c r="Z177" s="9"/>
      <c r="AA177" s="9"/>
      <c r="AB177" s="9"/>
      <c r="AC177" s="9"/>
      <c r="AD177" s="35" t="s">
        <v>710</v>
      </c>
      <c r="AE177" s="35" t="s">
        <v>711</v>
      </c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112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</row>
    <row r="178" ht="15.0" customHeight="1">
      <c r="A178" s="9"/>
      <c r="B178" s="22" t="s">
        <v>796</v>
      </c>
      <c r="C178" s="24">
        <v>73.564</v>
      </c>
      <c r="D178" s="90"/>
      <c r="E178" s="120"/>
      <c r="F178" s="119"/>
      <c r="G178" s="9"/>
      <c r="H178" s="9"/>
      <c r="I178" s="10"/>
      <c r="J178" s="9"/>
      <c r="K178" s="9"/>
      <c r="L178" s="9"/>
      <c r="M178" s="12"/>
      <c r="N178" s="12"/>
      <c r="O178" s="9"/>
      <c r="P178" s="9"/>
      <c r="Q178" s="35" t="s">
        <v>725</v>
      </c>
      <c r="R178" s="35" t="s">
        <v>726</v>
      </c>
      <c r="S178" s="9"/>
      <c r="T178" s="10"/>
      <c r="U178" s="9"/>
      <c r="V178" s="9"/>
      <c r="W178" s="9"/>
      <c r="X178" s="9"/>
      <c r="Y178" s="9"/>
      <c r="Z178" s="9"/>
      <c r="AA178" s="9"/>
      <c r="AB178" s="9"/>
      <c r="AC178" s="9"/>
      <c r="AD178" s="35" t="s">
        <v>715</v>
      </c>
      <c r="AE178" s="35" t="s">
        <v>716</v>
      </c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112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</row>
    <row r="179" ht="15.0" customHeight="1">
      <c r="A179" s="9"/>
      <c r="B179" s="22" t="s">
        <v>797</v>
      </c>
      <c r="C179" s="24">
        <v>73.564</v>
      </c>
      <c r="D179" s="90"/>
      <c r="E179" s="120"/>
      <c r="F179" s="119"/>
      <c r="G179" s="9"/>
      <c r="H179" s="9"/>
      <c r="I179" s="10"/>
      <c r="J179" s="9"/>
      <c r="K179" s="9"/>
      <c r="L179" s="9"/>
      <c r="M179" s="12"/>
      <c r="N179" s="12"/>
      <c r="O179" s="9"/>
      <c r="P179" s="9"/>
      <c r="Q179" s="35" t="s">
        <v>728</v>
      </c>
      <c r="R179" s="35" t="s">
        <v>729</v>
      </c>
      <c r="S179" s="9"/>
      <c r="T179" s="10"/>
      <c r="U179" s="9"/>
      <c r="V179" s="9"/>
      <c r="W179" s="9"/>
      <c r="X179" s="9"/>
      <c r="Y179" s="9"/>
      <c r="Z179" s="9"/>
      <c r="AA179" s="9"/>
      <c r="AB179" s="9"/>
      <c r="AC179" s="9"/>
      <c r="AD179" s="35" t="s">
        <v>720</v>
      </c>
      <c r="AE179" s="35" t="s">
        <v>721</v>
      </c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112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</row>
    <row r="180" ht="15.0" customHeight="1">
      <c r="A180" s="9"/>
      <c r="B180" s="22" t="s">
        <v>798</v>
      </c>
      <c r="C180" s="24">
        <v>73.564</v>
      </c>
      <c r="D180" s="90"/>
      <c r="E180" s="120"/>
      <c r="F180" s="119"/>
      <c r="G180" s="9"/>
      <c r="H180" s="9"/>
      <c r="I180" s="10"/>
      <c r="J180" s="9"/>
      <c r="K180" s="9"/>
      <c r="L180" s="9"/>
      <c r="M180" s="12"/>
      <c r="N180" s="12"/>
      <c r="O180" s="9"/>
      <c r="P180" s="9"/>
      <c r="Q180" s="35" t="s">
        <v>730</v>
      </c>
      <c r="R180" s="35" t="s">
        <v>731</v>
      </c>
      <c r="S180" s="9"/>
      <c r="T180" s="10"/>
      <c r="U180" s="9"/>
      <c r="V180" s="9"/>
      <c r="W180" s="9"/>
      <c r="X180" s="9"/>
      <c r="Y180" s="9"/>
      <c r="Z180" s="9"/>
      <c r="AA180" s="9"/>
      <c r="AB180" s="9"/>
      <c r="AC180" s="9"/>
      <c r="AD180" s="35" t="s">
        <v>725</v>
      </c>
      <c r="AE180" s="35" t="s">
        <v>726</v>
      </c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112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</row>
    <row r="181" ht="15.0" customHeight="1">
      <c r="A181" s="9"/>
      <c r="B181" s="22" t="s">
        <v>799</v>
      </c>
      <c r="C181" s="24">
        <v>82.76</v>
      </c>
      <c r="D181" s="90"/>
      <c r="E181" s="120"/>
      <c r="F181" s="119"/>
      <c r="G181" s="9"/>
      <c r="H181" s="9"/>
      <c r="I181" s="10"/>
      <c r="J181" s="9"/>
      <c r="K181" s="9"/>
      <c r="L181" s="9"/>
      <c r="M181" s="12"/>
      <c r="N181" s="12"/>
      <c r="O181" s="9"/>
      <c r="P181" s="9"/>
      <c r="Q181" s="35" t="s">
        <v>792</v>
      </c>
      <c r="R181" s="35" t="s">
        <v>793</v>
      </c>
      <c r="S181" s="9"/>
      <c r="T181" s="10"/>
      <c r="U181" s="9"/>
      <c r="V181" s="9"/>
      <c r="W181" s="9"/>
      <c r="X181" s="9"/>
      <c r="Y181" s="9"/>
      <c r="Z181" s="9"/>
      <c r="AA181" s="9"/>
      <c r="AB181" s="9"/>
      <c r="AC181" s="9"/>
      <c r="AD181" s="35" t="s">
        <v>728</v>
      </c>
      <c r="AE181" s="35" t="s">
        <v>729</v>
      </c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112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</row>
    <row r="182" ht="15.0" customHeight="1">
      <c r="A182" s="9"/>
      <c r="B182" s="22" t="s">
        <v>800</v>
      </c>
      <c r="C182" s="24">
        <v>82.76</v>
      </c>
      <c r="D182" s="90"/>
      <c r="E182" s="120"/>
      <c r="F182" s="119"/>
      <c r="G182" s="9"/>
      <c r="H182" s="9"/>
      <c r="I182" s="10"/>
      <c r="J182" s="9"/>
      <c r="K182" s="9"/>
      <c r="L182" s="9"/>
      <c r="M182" s="12"/>
      <c r="N182" s="12"/>
      <c r="O182" s="9"/>
      <c r="P182" s="9"/>
      <c r="Q182" s="12" t="s">
        <v>801</v>
      </c>
      <c r="R182" s="12" t="s">
        <v>802</v>
      </c>
      <c r="S182" s="9"/>
      <c r="T182" s="10"/>
      <c r="U182" s="9"/>
      <c r="V182" s="9"/>
      <c r="W182" s="9"/>
      <c r="X182" s="9"/>
      <c r="Y182" s="9"/>
      <c r="Z182" s="9"/>
      <c r="AA182" s="9"/>
      <c r="AB182" s="9"/>
      <c r="AC182" s="9"/>
      <c r="AD182" s="35" t="s">
        <v>730</v>
      </c>
      <c r="AE182" s="35" t="s">
        <v>731</v>
      </c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112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</row>
    <row r="183" ht="15.0" customHeight="1">
      <c r="A183" s="9"/>
      <c r="B183" s="22" t="s">
        <v>803</v>
      </c>
      <c r="C183" s="24">
        <v>82.76</v>
      </c>
      <c r="D183" s="16"/>
      <c r="E183" s="120"/>
      <c r="F183" s="119"/>
      <c r="G183" s="9"/>
      <c r="H183" s="9"/>
      <c r="I183" s="10"/>
      <c r="J183" s="9"/>
      <c r="K183" s="9"/>
      <c r="L183" s="9"/>
      <c r="M183" s="12"/>
      <c r="N183" s="12"/>
      <c r="O183" s="9"/>
      <c r="P183" s="9"/>
      <c r="Q183" s="12" t="s">
        <v>804</v>
      </c>
      <c r="R183" s="12" t="s">
        <v>805</v>
      </c>
      <c r="S183" s="9"/>
      <c r="T183" s="10"/>
      <c r="U183" s="9"/>
      <c r="V183" s="9"/>
      <c r="W183" s="9"/>
      <c r="X183" s="9"/>
      <c r="Y183" s="9"/>
      <c r="Z183" s="9"/>
      <c r="AA183" s="9"/>
      <c r="AB183" s="9"/>
      <c r="AC183" s="9"/>
      <c r="AD183" s="35" t="s">
        <v>792</v>
      </c>
      <c r="AE183" s="35" t="s">
        <v>793</v>
      </c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112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</row>
    <row r="184" ht="15.0" customHeight="1">
      <c r="A184" s="9"/>
      <c r="B184" s="22" t="s">
        <v>806</v>
      </c>
      <c r="C184" s="24">
        <v>82.76</v>
      </c>
      <c r="D184" s="90"/>
      <c r="E184" s="120"/>
      <c r="F184" s="119"/>
      <c r="G184" s="9"/>
      <c r="H184" s="9"/>
      <c r="I184" s="10"/>
      <c r="J184" s="9"/>
      <c r="K184" s="9"/>
      <c r="L184" s="9"/>
      <c r="M184" s="12"/>
      <c r="N184" s="12"/>
      <c r="O184" s="9"/>
      <c r="P184" s="9"/>
      <c r="Q184" s="12" t="s">
        <v>807</v>
      </c>
      <c r="R184" s="12" t="s">
        <v>808</v>
      </c>
      <c r="S184" s="9"/>
      <c r="T184" s="10"/>
      <c r="U184" s="9"/>
      <c r="V184" s="9"/>
      <c r="W184" s="9"/>
      <c r="X184" s="9"/>
      <c r="Y184" s="9"/>
      <c r="Z184" s="9"/>
      <c r="AA184" s="9"/>
      <c r="AB184" s="9"/>
      <c r="AC184" s="9"/>
      <c r="AD184" s="35" t="s">
        <v>809</v>
      </c>
      <c r="AE184" s="35" t="s">
        <v>810</v>
      </c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112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</row>
    <row r="185" ht="15.0" customHeight="1">
      <c r="A185" s="9"/>
      <c r="B185" s="22" t="s">
        <v>811</v>
      </c>
      <c r="C185" s="24">
        <v>73.564</v>
      </c>
      <c r="D185" s="90"/>
      <c r="E185" s="120"/>
      <c r="F185" s="119"/>
      <c r="G185" s="9"/>
      <c r="H185" s="9"/>
      <c r="I185" s="10"/>
      <c r="J185" s="9"/>
      <c r="K185" s="9"/>
      <c r="L185" s="9"/>
      <c r="M185" s="12"/>
      <c r="N185" s="12"/>
      <c r="O185" s="9"/>
      <c r="P185" s="9"/>
      <c r="Q185" s="12" t="s">
        <v>812</v>
      </c>
      <c r="R185" s="12" t="s">
        <v>813</v>
      </c>
      <c r="S185" s="9"/>
      <c r="T185" s="10"/>
      <c r="U185" s="9"/>
      <c r="V185" s="9"/>
      <c r="W185" s="9"/>
      <c r="X185" s="9"/>
      <c r="Y185" s="9"/>
      <c r="Z185" s="9"/>
      <c r="AA185" s="9"/>
      <c r="AB185" s="9"/>
      <c r="AC185" s="9"/>
      <c r="AD185" s="35" t="s">
        <v>40</v>
      </c>
      <c r="AE185" s="35" t="s">
        <v>41</v>
      </c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112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</row>
    <row r="186" ht="15.0" customHeight="1">
      <c r="A186" s="9"/>
      <c r="B186" s="22" t="s">
        <v>814</v>
      </c>
      <c r="C186" s="24">
        <v>73.564</v>
      </c>
      <c r="D186" s="90"/>
      <c r="E186" s="10"/>
      <c r="F186" s="16"/>
      <c r="G186" s="9"/>
      <c r="H186" s="9"/>
      <c r="I186" s="10"/>
      <c r="J186" s="9"/>
      <c r="K186" s="9"/>
      <c r="L186" s="9"/>
      <c r="M186" s="12"/>
      <c r="N186" s="12"/>
      <c r="O186" s="9"/>
      <c r="P186" s="9"/>
      <c r="Q186" s="12"/>
      <c r="R186" s="12"/>
      <c r="S186" s="9"/>
      <c r="T186" s="10"/>
      <c r="U186" s="9"/>
      <c r="V186" s="9"/>
      <c r="W186" s="9"/>
      <c r="X186" s="9"/>
      <c r="Y186" s="9"/>
      <c r="Z186" s="9"/>
      <c r="AA186" s="9"/>
      <c r="AB186" s="9"/>
      <c r="AC186" s="9"/>
      <c r="AD186" s="35" t="s">
        <v>61</v>
      </c>
      <c r="AE186" s="35" t="s">
        <v>62</v>
      </c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112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</row>
    <row r="187" ht="15.0" customHeight="1">
      <c r="A187" s="9"/>
      <c r="B187" s="22" t="s">
        <v>815</v>
      </c>
      <c r="C187" s="24">
        <v>73.564</v>
      </c>
      <c r="D187" s="90"/>
      <c r="E187" s="10"/>
      <c r="F187" s="16"/>
      <c r="G187" s="9"/>
      <c r="H187" s="9"/>
      <c r="I187" s="10"/>
      <c r="J187" s="9"/>
      <c r="K187" s="9"/>
      <c r="L187" s="9"/>
      <c r="M187" s="12"/>
      <c r="N187" s="12"/>
      <c r="O187" s="9"/>
      <c r="P187" s="9"/>
      <c r="Q187" s="12"/>
      <c r="R187" s="12"/>
      <c r="S187" s="9"/>
      <c r="T187" s="10"/>
      <c r="U187" s="9"/>
      <c r="V187" s="9"/>
      <c r="W187" s="9"/>
      <c r="X187" s="9"/>
      <c r="Y187" s="9"/>
      <c r="Z187" s="9"/>
      <c r="AA187" s="9"/>
      <c r="AB187" s="9"/>
      <c r="AC187" s="9"/>
      <c r="AD187" s="35" t="s">
        <v>82</v>
      </c>
      <c r="AE187" s="35" t="s">
        <v>84</v>
      </c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112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</row>
    <row r="188" ht="15.0" customHeight="1">
      <c r="A188" s="9"/>
      <c r="B188" s="21" t="s">
        <v>97</v>
      </c>
      <c r="C188" s="21" t="s">
        <v>97</v>
      </c>
      <c r="D188" s="90"/>
      <c r="E188" s="10"/>
      <c r="F188" s="16"/>
      <c r="G188" s="9"/>
      <c r="H188" s="9"/>
      <c r="I188" s="10"/>
      <c r="J188" s="9"/>
      <c r="K188" s="9"/>
      <c r="L188" s="9"/>
      <c r="M188" s="12"/>
      <c r="N188" s="12"/>
      <c r="O188" s="9"/>
      <c r="P188" s="9"/>
      <c r="Q188" s="10"/>
      <c r="R188" s="9"/>
      <c r="S188" s="9"/>
      <c r="T188" s="10"/>
      <c r="U188" s="9"/>
      <c r="V188" s="9"/>
      <c r="W188" s="9"/>
      <c r="X188" s="9"/>
      <c r="Y188" s="9"/>
      <c r="Z188" s="9"/>
      <c r="AA188" s="9"/>
      <c r="AB188" s="9"/>
      <c r="AC188" s="9"/>
      <c r="AD188" s="35" t="s">
        <v>99</v>
      </c>
      <c r="AE188" s="35" t="s">
        <v>100</v>
      </c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112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</row>
    <row r="189" ht="15.0" customHeight="1">
      <c r="A189" s="9"/>
      <c r="B189" s="22" t="s">
        <v>816</v>
      </c>
      <c r="C189" s="24">
        <v>28.53</v>
      </c>
      <c r="D189" s="90"/>
      <c r="E189" s="10"/>
      <c r="F189" s="16"/>
      <c r="G189" s="9"/>
      <c r="H189" s="9"/>
      <c r="I189" s="10"/>
      <c r="J189" s="9"/>
      <c r="K189" s="9"/>
      <c r="L189" s="9"/>
      <c r="M189" s="12"/>
      <c r="N189" s="12"/>
      <c r="O189" s="9"/>
      <c r="P189" s="9"/>
      <c r="Q189" s="10"/>
      <c r="R189" s="9"/>
      <c r="S189" s="9"/>
      <c r="T189" s="10"/>
      <c r="U189" s="9"/>
      <c r="V189" s="9"/>
      <c r="W189" s="9"/>
      <c r="X189" s="9"/>
      <c r="Y189" s="9"/>
      <c r="Z189" s="9"/>
      <c r="AA189" s="9"/>
      <c r="AB189" s="9"/>
      <c r="AC189" s="9"/>
      <c r="AD189" s="35" t="s">
        <v>112</v>
      </c>
      <c r="AE189" s="35" t="s">
        <v>113</v>
      </c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112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</row>
    <row r="190" ht="15.0" customHeight="1">
      <c r="A190" s="9"/>
      <c r="B190" s="22" t="s">
        <v>817</v>
      </c>
      <c r="C190" s="24">
        <v>35.632</v>
      </c>
      <c r="D190" s="90"/>
      <c r="E190" s="10"/>
      <c r="F190" s="16"/>
      <c r="G190" s="9"/>
      <c r="H190" s="9"/>
      <c r="I190" s="10"/>
      <c r="J190" s="9"/>
      <c r="K190" s="9"/>
      <c r="L190" s="9"/>
      <c r="M190" s="12"/>
      <c r="N190" s="12"/>
      <c r="O190" s="9"/>
      <c r="P190" s="9"/>
      <c r="Q190" s="10"/>
      <c r="R190" s="9"/>
      <c r="S190" s="9"/>
      <c r="T190" s="10"/>
      <c r="U190" s="9"/>
      <c r="V190" s="9"/>
      <c r="W190" s="9"/>
      <c r="X190" s="9"/>
      <c r="Y190" s="9"/>
      <c r="Z190" s="9"/>
      <c r="AA190" s="9"/>
      <c r="AB190" s="9"/>
      <c r="AC190" s="9"/>
      <c r="AD190" s="35" t="s">
        <v>125</v>
      </c>
      <c r="AE190" s="35" t="s">
        <v>126</v>
      </c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112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</row>
    <row r="191" ht="15.0" customHeight="1">
      <c r="A191" s="9"/>
      <c r="B191" s="22" t="s">
        <v>818</v>
      </c>
      <c r="C191" s="24">
        <v>57.07</v>
      </c>
      <c r="D191" s="90"/>
      <c r="E191" s="10"/>
      <c r="F191" s="16"/>
      <c r="G191" s="9"/>
      <c r="H191" s="9"/>
      <c r="I191" s="10"/>
      <c r="J191" s="9"/>
      <c r="K191" s="9"/>
      <c r="L191" s="9"/>
      <c r="M191" s="12"/>
      <c r="N191" s="12"/>
      <c r="O191" s="9"/>
      <c r="P191" s="9"/>
      <c r="Q191" s="10"/>
      <c r="R191" s="9"/>
      <c r="S191" s="9"/>
      <c r="T191" s="10"/>
      <c r="U191" s="9"/>
      <c r="V191" s="9"/>
      <c r="W191" s="9"/>
      <c r="X191" s="9"/>
      <c r="Y191" s="9"/>
      <c r="Z191" s="9"/>
      <c r="AA191" s="9"/>
      <c r="AB191" s="9"/>
      <c r="AC191" s="9"/>
      <c r="AD191" s="35" t="s">
        <v>135</v>
      </c>
      <c r="AE191" s="35" t="s">
        <v>136</v>
      </c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112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</row>
    <row r="192" ht="15.0" customHeight="1">
      <c r="A192" s="9"/>
      <c r="B192" s="22" t="s">
        <v>819</v>
      </c>
      <c r="C192" s="24">
        <v>79.26</v>
      </c>
      <c r="D192" s="90"/>
      <c r="E192" s="10"/>
      <c r="F192" s="16"/>
      <c r="G192" s="9"/>
      <c r="H192" s="9"/>
      <c r="I192" s="10"/>
      <c r="J192" s="9"/>
      <c r="K192" s="9"/>
      <c r="L192" s="9"/>
      <c r="M192" s="12"/>
      <c r="N192" s="12"/>
      <c r="O192" s="9"/>
      <c r="P192" s="9"/>
      <c r="Q192" s="10"/>
      <c r="R192" s="9"/>
      <c r="S192" s="9"/>
      <c r="T192" s="10"/>
      <c r="U192" s="9"/>
      <c r="V192" s="9"/>
      <c r="W192" s="9"/>
      <c r="X192" s="9"/>
      <c r="Y192" s="9"/>
      <c r="Z192" s="9"/>
      <c r="AA192" s="9"/>
      <c r="AB192" s="9"/>
      <c r="AC192" s="9"/>
      <c r="AD192" s="35" t="s">
        <v>146</v>
      </c>
      <c r="AE192" s="35" t="s">
        <v>147</v>
      </c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112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</row>
    <row r="193" ht="15.0" customHeight="1">
      <c r="A193" s="9"/>
      <c r="B193" s="21" t="s">
        <v>102</v>
      </c>
      <c r="C193" s="21" t="s">
        <v>102</v>
      </c>
      <c r="D193" s="90" t="s">
        <v>13</v>
      </c>
      <c r="E193" s="10"/>
      <c r="F193" s="16"/>
      <c r="G193" s="9"/>
      <c r="H193" s="9"/>
      <c r="I193" s="10"/>
      <c r="J193" s="9"/>
      <c r="K193" s="9"/>
      <c r="L193" s="9"/>
      <c r="M193" s="12"/>
      <c r="N193" s="12"/>
      <c r="O193" s="9"/>
      <c r="P193" s="9"/>
      <c r="Q193" s="10"/>
      <c r="R193" s="9"/>
      <c r="S193" s="9"/>
      <c r="T193" s="10"/>
      <c r="U193" s="9"/>
      <c r="V193" s="9"/>
      <c r="W193" s="9"/>
      <c r="X193" s="9"/>
      <c r="Y193" s="9"/>
      <c r="Z193" s="9"/>
      <c r="AA193" s="9"/>
      <c r="AB193" s="9"/>
      <c r="AC193" s="9"/>
      <c r="AD193" s="35" t="s">
        <v>156</v>
      </c>
      <c r="AE193" s="35" t="s">
        <v>157</v>
      </c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112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</row>
    <row r="194" ht="15.0" customHeight="1">
      <c r="A194" s="9"/>
      <c r="B194" s="22" t="s">
        <v>820</v>
      </c>
      <c r="C194" s="24">
        <v>29.377</v>
      </c>
      <c r="D194" s="90"/>
      <c r="E194" s="10"/>
      <c r="F194" s="16"/>
      <c r="G194" s="9"/>
      <c r="H194" s="9"/>
      <c r="I194" s="10"/>
      <c r="J194" s="9"/>
      <c r="K194" s="9"/>
      <c r="L194" s="9"/>
      <c r="M194" s="12"/>
      <c r="N194" s="12"/>
      <c r="O194" s="9"/>
      <c r="P194" s="9"/>
      <c r="Q194" s="10"/>
      <c r="R194" s="9"/>
      <c r="S194" s="9"/>
      <c r="T194" s="10"/>
      <c r="U194" s="9"/>
      <c r="V194" s="9"/>
      <c r="W194" s="9"/>
      <c r="X194" s="9"/>
      <c r="Y194" s="9"/>
      <c r="Z194" s="9"/>
      <c r="AA194" s="9"/>
      <c r="AB194" s="9"/>
      <c r="AC194" s="9"/>
      <c r="AD194" s="35" t="s">
        <v>168</v>
      </c>
      <c r="AE194" s="35" t="s">
        <v>169</v>
      </c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112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</row>
    <row r="195" ht="15.0" customHeight="1">
      <c r="A195" s="9"/>
      <c r="B195" s="22" t="s">
        <v>821</v>
      </c>
      <c r="C195" s="24">
        <v>29.377</v>
      </c>
      <c r="D195" s="90"/>
      <c r="E195" s="121"/>
      <c r="F195" s="16"/>
      <c r="G195" s="9"/>
      <c r="H195" s="9"/>
      <c r="I195" s="10"/>
      <c r="J195" s="9"/>
      <c r="K195" s="9"/>
      <c r="L195" s="9"/>
      <c r="M195" s="12"/>
      <c r="N195" s="12"/>
      <c r="O195" s="9"/>
      <c r="P195" s="9"/>
      <c r="Q195" s="10"/>
      <c r="R195" s="9"/>
      <c r="S195" s="9"/>
      <c r="T195" s="10"/>
      <c r="U195" s="9"/>
      <c r="V195" s="9"/>
      <c r="W195" s="9"/>
      <c r="X195" s="9"/>
      <c r="Y195" s="9"/>
      <c r="Z195" s="9"/>
      <c r="AA195" s="9"/>
      <c r="AB195" s="9"/>
      <c r="AC195" s="9"/>
      <c r="AD195" s="35" t="s">
        <v>179</v>
      </c>
      <c r="AE195" s="35" t="s">
        <v>95</v>
      </c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112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</row>
    <row r="196" ht="15.0" customHeight="1">
      <c r="A196" s="9"/>
      <c r="B196" s="22" t="s">
        <v>822</v>
      </c>
      <c r="C196" s="24">
        <v>29.377</v>
      </c>
      <c r="D196" s="90"/>
      <c r="E196" s="121"/>
      <c r="F196" s="16"/>
      <c r="G196" s="9"/>
      <c r="H196" s="9"/>
      <c r="I196" s="10"/>
      <c r="J196" s="9"/>
      <c r="K196" s="9"/>
      <c r="L196" s="9"/>
      <c r="M196" s="12"/>
      <c r="N196" s="12"/>
      <c r="O196" s="9"/>
      <c r="P196" s="9"/>
      <c r="Q196" s="10"/>
      <c r="R196" s="9"/>
      <c r="S196" s="9"/>
      <c r="T196" s="10"/>
      <c r="U196" s="9"/>
      <c r="V196" s="9"/>
      <c r="W196" s="9"/>
      <c r="X196" s="9"/>
      <c r="Y196" s="9"/>
      <c r="Z196" s="9"/>
      <c r="AA196" s="9"/>
      <c r="AB196" s="9"/>
      <c r="AC196" s="9"/>
      <c r="AD196" s="35" t="s">
        <v>53</v>
      </c>
      <c r="AE196" s="35" t="s">
        <v>54</v>
      </c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112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</row>
    <row r="197" ht="15.0" customHeight="1">
      <c r="A197" s="9"/>
      <c r="B197" s="22" t="s">
        <v>823</v>
      </c>
      <c r="C197" s="24">
        <v>29.377</v>
      </c>
      <c r="D197" s="90"/>
      <c r="E197" s="121"/>
      <c r="F197" s="16"/>
      <c r="G197" s="9"/>
      <c r="H197" s="9"/>
      <c r="I197" s="10"/>
      <c r="J197" s="9"/>
      <c r="K197" s="9"/>
      <c r="L197" s="9"/>
      <c r="M197" s="12"/>
      <c r="N197" s="12"/>
      <c r="O197" s="9"/>
      <c r="P197" s="9"/>
      <c r="Q197" s="10"/>
      <c r="R197" s="9"/>
      <c r="S197" s="9"/>
      <c r="T197" s="10"/>
      <c r="U197" s="9"/>
      <c r="V197" s="9"/>
      <c r="W197" s="9"/>
      <c r="X197" s="9"/>
      <c r="Y197" s="9"/>
      <c r="Z197" s="9"/>
      <c r="AA197" s="9"/>
      <c r="AB197" s="9"/>
      <c r="AC197" s="9"/>
      <c r="AD197" s="35" t="s">
        <v>73</v>
      </c>
      <c r="AE197" s="35" t="s">
        <v>74</v>
      </c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112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</row>
    <row r="198" ht="15.0" customHeight="1">
      <c r="A198" s="9"/>
      <c r="B198" s="22" t="s">
        <v>750</v>
      </c>
      <c r="C198" s="24">
        <v>39.273</v>
      </c>
      <c r="D198" s="90"/>
      <c r="E198" s="121"/>
      <c r="F198" s="16"/>
      <c r="G198" s="9"/>
      <c r="H198" s="9"/>
      <c r="I198" s="10"/>
      <c r="J198" s="9"/>
      <c r="K198" s="9"/>
      <c r="L198" s="9"/>
      <c r="M198" s="12"/>
      <c r="N198" s="12"/>
      <c r="O198" s="9"/>
      <c r="P198" s="9"/>
      <c r="Q198" s="10"/>
      <c r="R198" s="9"/>
      <c r="S198" s="9"/>
      <c r="T198" s="10"/>
      <c r="U198" s="9"/>
      <c r="V198" s="9"/>
      <c r="W198" s="9"/>
      <c r="X198" s="9"/>
      <c r="Y198" s="9"/>
      <c r="Z198" s="9"/>
      <c r="AA198" s="9"/>
      <c r="AB198" s="9"/>
      <c r="AC198" s="9"/>
      <c r="AD198" s="35" t="s">
        <v>93</v>
      </c>
      <c r="AE198" s="35" t="s">
        <v>94</v>
      </c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112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</row>
    <row r="199" ht="15.0" customHeight="1">
      <c r="A199" s="9"/>
      <c r="B199" s="22" t="s">
        <v>746</v>
      </c>
      <c r="C199" s="24">
        <v>39.273</v>
      </c>
      <c r="D199" s="90"/>
      <c r="E199" s="121"/>
      <c r="F199" s="16"/>
      <c r="G199" s="9"/>
      <c r="H199" s="9"/>
      <c r="I199" s="10"/>
      <c r="J199" s="9"/>
      <c r="K199" s="9"/>
      <c r="L199" s="9"/>
      <c r="M199" s="12"/>
      <c r="N199" s="12"/>
      <c r="O199" s="9"/>
      <c r="P199" s="9"/>
      <c r="Q199" s="10"/>
      <c r="R199" s="9"/>
      <c r="S199" s="9"/>
      <c r="T199" s="10"/>
      <c r="U199" s="9"/>
      <c r="V199" s="9"/>
      <c r="W199" s="9"/>
      <c r="X199" s="9"/>
      <c r="Y199" s="9"/>
      <c r="Z199" s="9"/>
      <c r="AA199" s="9"/>
      <c r="AB199" s="9"/>
      <c r="AC199" s="9"/>
      <c r="AD199" s="35" t="s">
        <v>108</v>
      </c>
      <c r="AE199" s="35" t="s">
        <v>109</v>
      </c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112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</row>
    <row r="200" ht="15.0" customHeight="1">
      <c r="A200" s="9"/>
      <c r="B200" s="22" t="s">
        <v>747</v>
      </c>
      <c r="C200" s="24">
        <v>39.273</v>
      </c>
      <c r="D200" s="90"/>
      <c r="E200" s="121"/>
      <c r="F200" s="16"/>
      <c r="G200" s="9"/>
      <c r="H200" s="9"/>
      <c r="I200" s="10"/>
      <c r="J200" s="9"/>
      <c r="K200" s="9"/>
      <c r="L200" s="9"/>
      <c r="M200" s="12"/>
      <c r="N200" s="12"/>
      <c r="O200" s="9"/>
      <c r="P200" s="9"/>
      <c r="Q200" s="10"/>
      <c r="R200" s="9"/>
      <c r="S200" s="9"/>
      <c r="T200" s="10"/>
      <c r="U200" s="9"/>
      <c r="V200" s="9"/>
      <c r="W200" s="9"/>
      <c r="X200" s="9"/>
      <c r="Y200" s="9"/>
      <c r="Z200" s="9"/>
      <c r="AA200" s="9"/>
      <c r="AB200" s="9"/>
      <c r="AC200" s="9"/>
      <c r="AD200" s="35" t="s">
        <v>122</v>
      </c>
      <c r="AE200" s="35" t="s">
        <v>123</v>
      </c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112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</row>
    <row r="201" ht="15.0" customHeight="1">
      <c r="A201" s="9"/>
      <c r="B201" s="22" t="s">
        <v>824</v>
      </c>
      <c r="C201" s="24">
        <v>39.273</v>
      </c>
      <c r="D201" s="90"/>
      <c r="E201" s="121"/>
      <c r="F201" s="16"/>
      <c r="G201" s="9"/>
      <c r="H201" s="9"/>
      <c r="I201" s="10"/>
      <c r="J201" s="9"/>
      <c r="K201" s="9"/>
      <c r="L201" s="9"/>
      <c r="M201" s="12"/>
      <c r="N201" s="12"/>
      <c r="O201" s="9"/>
      <c r="P201" s="9"/>
      <c r="Q201" s="10"/>
      <c r="R201" s="9"/>
      <c r="S201" s="9"/>
      <c r="T201" s="10"/>
      <c r="U201" s="9"/>
      <c r="V201" s="9"/>
      <c r="W201" s="9"/>
      <c r="X201" s="9"/>
      <c r="Y201" s="9"/>
      <c r="Z201" s="9"/>
      <c r="AA201" s="9"/>
      <c r="AB201" s="9"/>
      <c r="AC201" s="9"/>
      <c r="AD201" s="35" t="s">
        <v>132</v>
      </c>
      <c r="AE201" s="35" t="s">
        <v>133</v>
      </c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112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</row>
    <row r="202" ht="15.0" customHeight="1">
      <c r="A202" s="9"/>
      <c r="B202" s="22" t="s">
        <v>825</v>
      </c>
      <c r="C202" s="24">
        <v>58.91</v>
      </c>
      <c r="D202" s="90"/>
      <c r="E202" s="9"/>
      <c r="F202" s="16"/>
      <c r="G202" s="9"/>
      <c r="H202" s="9"/>
      <c r="I202" s="10"/>
      <c r="J202" s="9"/>
      <c r="K202" s="9"/>
      <c r="L202" s="9"/>
      <c r="M202" s="12"/>
      <c r="N202" s="12"/>
      <c r="O202" s="9"/>
      <c r="P202" s="9"/>
      <c r="Q202" s="10"/>
      <c r="R202" s="9"/>
      <c r="S202" s="9"/>
      <c r="T202" s="10"/>
      <c r="U202" s="9"/>
      <c r="V202" s="9"/>
      <c r="W202" s="9"/>
      <c r="X202" s="9"/>
      <c r="Y202" s="9"/>
      <c r="Z202" s="9"/>
      <c r="AA202" s="9"/>
      <c r="AB202" s="9"/>
      <c r="AC202" s="9"/>
      <c r="AD202" s="35" t="s">
        <v>141</v>
      </c>
      <c r="AE202" s="35" t="s">
        <v>142</v>
      </c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112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</row>
    <row r="203" ht="15.0" customHeight="1">
      <c r="A203" s="9"/>
      <c r="B203" s="22" t="s">
        <v>826</v>
      </c>
      <c r="C203" s="24">
        <v>58.91</v>
      </c>
      <c r="D203" s="90"/>
      <c r="E203" s="9"/>
      <c r="F203" s="16"/>
      <c r="G203" s="9"/>
      <c r="H203" s="9"/>
      <c r="I203" s="10"/>
      <c r="J203" s="9"/>
      <c r="K203" s="9"/>
      <c r="L203" s="9"/>
      <c r="M203" s="12"/>
      <c r="N203" s="12"/>
      <c r="O203" s="9"/>
      <c r="P203" s="9"/>
      <c r="Q203" s="10"/>
      <c r="R203" s="9"/>
      <c r="S203" s="9"/>
      <c r="T203" s="10"/>
      <c r="U203" s="9"/>
      <c r="V203" s="9"/>
      <c r="W203" s="9"/>
      <c r="X203" s="9"/>
      <c r="Y203" s="9"/>
      <c r="Z203" s="9"/>
      <c r="AA203" s="9"/>
      <c r="AB203" s="9"/>
      <c r="AC203" s="9"/>
      <c r="AD203" s="35" t="s">
        <v>151</v>
      </c>
      <c r="AE203" s="35" t="s">
        <v>152</v>
      </c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112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</row>
    <row r="204" ht="15.0" customHeight="1">
      <c r="A204" s="9"/>
      <c r="B204" s="22" t="s">
        <v>827</v>
      </c>
      <c r="C204" s="24">
        <v>58.91</v>
      </c>
      <c r="D204" s="90"/>
      <c r="E204" s="9"/>
      <c r="F204" s="16"/>
      <c r="G204" s="16"/>
      <c r="H204" s="9"/>
      <c r="I204" s="10"/>
      <c r="J204" s="9"/>
      <c r="K204" s="9"/>
      <c r="L204" s="9"/>
      <c r="M204" s="12"/>
      <c r="N204" s="12"/>
      <c r="O204" s="9"/>
      <c r="P204" s="9"/>
      <c r="Q204" s="10"/>
      <c r="R204" s="9"/>
      <c r="S204" s="9"/>
      <c r="T204" s="10"/>
      <c r="U204" s="9"/>
      <c r="V204" s="9"/>
      <c r="W204" s="9"/>
      <c r="X204" s="9"/>
      <c r="Y204" s="9"/>
      <c r="Z204" s="9"/>
      <c r="AA204" s="9"/>
      <c r="AB204" s="9"/>
      <c r="AC204" s="9"/>
      <c r="AD204" s="35" t="s">
        <v>162</v>
      </c>
      <c r="AE204" s="35" t="s">
        <v>163</v>
      </c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112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</row>
    <row r="205" ht="15.0" customHeight="1">
      <c r="A205" s="9"/>
      <c r="B205" s="22" t="s">
        <v>828</v>
      </c>
      <c r="C205" s="24">
        <v>58.91</v>
      </c>
      <c r="D205" s="90"/>
      <c r="E205" s="9"/>
      <c r="F205" s="16"/>
      <c r="G205" s="16"/>
      <c r="H205" s="9"/>
      <c r="I205" s="10"/>
      <c r="J205" s="9"/>
      <c r="K205" s="9"/>
      <c r="L205" s="9"/>
      <c r="M205" s="12"/>
      <c r="N205" s="12"/>
      <c r="O205" s="9"/>
      <c r="P205" s="9"/>
      <c r="Q205" s="10"/>
      <c r="R205" s="9"/>
      <c r="S205" s="9"/>
      <c r="T205" s="10"/>
      <c r="U205" s="9"/>
      <c r="V205" s="9"/>
      <c r="W205" s="9"/>
      <c r="X205" s="9"/>
      <c r="Y205" s="9"/>
      <c r="Z205" s="9"/>
      <c r="AA205" s="9"/>
      <c r="AB205" s="9"/>
      <c r="AC205" s="9"/>
      <c r="AD205" s="35" t="s">
        <v>174</v>
      </c>
      <c r="AE205" s="35" t="s">
        <v>175</v>
      </c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112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</row>
    <row r="206" ht="15.0" customHeight="1">
      <c r="A206" s="9"/>
      <c r="B206" s="22" t="s">
        <v>829</v>
      </c>
      <c r="C206" s="24">
        <v>81.81944444444444</v>
      </c>
      <c r="D206" s="90"/>
      <c r="E206" s="9"/>
      <c r="F206" s="16"/>
      <c r="G206" s="16"/>
      <c r="H206" s="9"/>
      <c r="I206" s="10"/>
      <c r="J206" s="9"/>
      <c r="K206" s="9"/>
      <c r="L206" s="9"/>
      <c r="M206" s="12"/>
      <c r="N206" s="12"/>
      <c r="O206" s="9"/>
      <c r="P206" s="9"/>
      <c r="Q206" s="10"/>
      <c r="R206" s="9"/>
      <c r="S206" s="9"/>
      <c r="T206" s="10"/>
      <c r="U206" s="9"/>
      <c r="V206" s="9"/>
      <c r="W206" s="9"/>
      <c r="X206" s="9"/>
      <c r="Y206" s="9"/>
      <c r="Z206" s="9"/>
      <c r="AA206" s="9"/>
      <c r="AB206" s="9"/>
      <c r="AC206" s="9"/>
      <c r="AD206" s="35" t="s">
        <v>182</v>
      </c>
      <c r="AE206" s="35" t="s">
        <v>183</v>
      </c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112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</row>
    <row r="207" ht="15.0" customHeight="1">
      <c r="A207" s="9"/>
      <c r="B207" s="22" t="s">
        <v>830</v>
      </c>
      <c r="C207" s="24">
        <v>81.81944444444444</v>
      </c>
      <c r="D207" s="90"/>
      <c r="E207" s="9"/>
      <c r="F207" s="16"/>
      <c r="G207" s="16"/>
      <c r="H207" s="9"/>
      <c r="I207" s="10"/>
      <c r="J207" s="9"/>
      <c r="K207" s="9"/>
      <c r="L207" s="9"/>
      <c r="M207" s="12"/>
      <c r="N207" s="12"/>
      <c r="O207" s="9"/>
      <c r="P207" s="9"/>
      <c r="Q207" s="10"/>
      <c r="R207" s="9"/>
      <c r="S207" s="9"/>
      <c r="T207" s="10"/>
      <c r="U207" s="9"/>
      <c r="V207" s="9"/>
      <c r="W207" s="9"/>
      <c r="X207" s="9"/>
      <c r="Y207" s="9"/>
      <c r="Z207" s="9"/>
      <c r="AA207" s="9"/>
      <c r="AB207" s="9"/>
      <c r="AC207" s="9"/>
      <c r="AD207" s="35" t="s">
        <v>191</v>
      </c>
      <c r="AE207" s="35" t="s">
        <v>192</v>
      </c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112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</row>
    <row r="208" ht="15.0" customHeight="1">
      <c r="A208" s="9"/>
      <c r="B208" s="22" t="s">
        <v>831</v>
      </c>
      <c r="C208" s="24">
        <v>81.81944444444444</v>
      </c>
      <c r="D208" s="90"/>
      <c r="E208" s="9"/>
      <c r="F208" s="16"/>
      <c r="G208" s="16"/>
      <c r="H208" s="9"/>
      <c r="I208" s="10"/>
      <c r="J208" s="9"/>
      <c r="K208" s="9"/>
      <c r="L208" s="9"/>
      <c r="M208" s="12"/>
      <c r="N208" s="12"/>
      <c r="O208" s="9"/>
      <c r="P208" s="9"/>
      <c r="Q208" s="10"/>
      <c r="R208" s="9"/>
      <c r="S208" s="9"/>
      <c r="T208" s="10"/>
      <c r="U208" s="9"/>
      <c r="V208" s="9"/>
      <c r="W208" s="9"/>
      <c r="X208" s="9"/>
      <c r="Y208" s="9"/>
      <c r="Z208" s="9"/>
      <c r="AA208" s="9"/>
      <c r="AB208" s="9"/>
      <c r="AC208" s="9"/>
      <c r="AD208" s="35" t="s">
        <v>198</v>
      </c>
      <c r="AE208" s="35" t="s">
        <v>199</v>
      </c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112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</row>
    <row r="209" ht="15.0" customHeight="1">
      <c r="A209" s="9"/>
      <c r="B209" s="22" t="s">
        <v>832</v>
      </c>
      <c r="C209" s="24">
        <v>81.81944444444444</v>
      </c>
      <c r="D209" s="90"/>
      <c r="E209" s="9"/>
      <c r="F209" s="16"/>
      <c r="G209" s="16"/>
      <c r="H209" s="9"/>
      <c r="I209" s="10"/>
      <c r="J209" s="9"/>
      <c r="K209" s="9"/>
      <c r="L209" s="9"/>
      <c r="M209" s="12"/>
      <c r="N209" s="12"/>
      <c r="O209" s="9"/>
      <c r="P209" s="9"/>
      <c r="Q209" s="10"/>
      <c r="R209" s="9"/>
      <c r="S209" s="9"/>
      <c r="T209" s="10"/>
      <c r="U209" s="9"/>
      <c r="V209" s="9"/>
      <c r="W209" s="9"/>
      <c r="X209" s="9"/>
      <c r="Y209" s="9"/>
      <c r="Z209" s="9"/>
      <c r="AA209" s="9"/>
      <c r="AB209" s="9"/>
      <c r="AC209" s="9"/>
      <c r="AD209" s="35" t="s">
        <v>207</v>
      </c>
      <c r="AE209" s="35" t="s">
        <v>208</v>
      </c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112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</row>
    <row r="210" ht="15.0" customHeight="1">
      <c r="A210" s="9"/>
      <c r="B210" s="22" t="s">
        <v>116</v>
      </c>
      <c r="C210" s="24" t="s">
        <v>116</v>
      </c>
      <c r="D210" s="16"/>
      <c r="E210" s="9"/>
      <c r="F210" s="16"/>
      <c r="G210" s="16"/>
      <c r="H210" s="9"/>
      <c r="I210" s="10"/>
      <c r="J210" s="9"/>
      <c r="K210" s="9"/>
      <c r="L210" s="9"/>
      <c r="M210" s="12"/>
      <c r="N210" s="12"/>
      <c r="O210" s="9"/>
      <c r="P210" s="9"/>
      <c r="Q210" s="10"/>
      <c r="R210" s="9"/>
      <c r="S210" s="9"/>
      <c r="T210" s="10"/>
      <c r="U210" s="9"/>
      <c r="V210" s="9"/>
      <c r="W210" s="9"/>
      <c r="X210" s="9"/>
      <c r="Y210" s="9"/>
      <c r="Z210" s="9"/>
      <c r="AA210" s="9"/>
      <c r="AB210" s="9"/>
      <c r="AC210" s="9"/>
      <c r="AD210" s="35" t="s">
        <v>216</v>
      </c>
      <c r="AE210" s="35" t="s">
        <v>217</v>
      </c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112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</row>
    <row r="211" ht="15.0" customHeight="1">
      <c r="A211" s="9"/>
      <c r="B211" s="22" t="s">
        <v>833</v>
      </c>
      <c r="C211" s="24">
        <v>13.628</v>
      </c>
      <c r="D211" s="16"/>
      <c r="E211" s="9"/>
      <c r="F211" s="16"/>
      <c r="G211" s="16"/>
      <c r="H211" s="9"/>
      <c r="I211" s="10"/>
      <c r="J211" s="9"/>
      <c r="K211" s="9"/>
      <c r="L211" s="9"/>
      <c r="M211" s="12"/>
      <c r="N211" s="12"/>
      <c r="O211" s="9"/>
      <c r="P211" s="9"/>
      <c r="Q211" s="10"/>
      <c r="R211" s="9"/>
      <c r="S211" s="9"/>
      <c r="T211" s="10"/>
      <c r="U211" s="9"/>
      <c r="V211" s="9"/>
      <c r="W211" s="9"/>
      <c r="X211" s="9"/>
      <c r="Y211" s="9"/>
      <c r="Z211" s="9"/>
      <c r="AA211" s="9"/>
      <c r="AB211" s="9"/>
      <c r="AC211" s="9"/>
      <c r="AD211" s="35" t="s">
        <v>225</v>
      </c>
      <c r="AE211" s="35" t="s">
        <v>226</v>
      </c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112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</row>
    <row r="212" ht="15.0" customHeight="1">
      <c r="A212" s="9"/>
      <c r="B212" s="22" t="s">
        <v>834</v>
      </c>
      <c r="C212" s="24">
        <v>7.787</v>
      </c>
      <c r="D212" s="16"/>
      <c r="E212" s="9"/>
      <c r="F212" s="16"/>
      <c r="G212" s="16"/>
      <c r="H212" s="9"/>
      <c r="I212" s="10"/>
      <c r="J212" s="9"/>
      <c r="K212" s="9"/>
      <c r="L212" s="9"/>
      <c r="M212" s="12"/>
      <c r="N212" s="12"/>
      <c r="O212" s="9"/>
      <c r="P212" s="9"/>
      <c r="Q212" s="10"/>
      <c r="R212" s="9"/>
      <c r="S212" s="9"/>
      <c r="T212" s="10"/>
      <c r="U212" s="9"/>
      <c r="V212" s="9"/>
      <c r="W212" s="9"/>
      <c r="X212" s="9"/>
      <c r="Y212" s="9"/>
      <c r="Z212" s="9"/>
      <c r="AA212" s="9"/>
      <c r="AB212" s="9"/>
      <c r="AC212" s="9"/>
      <c r="AD212" s="35" t="s">
        <v>238</v>
      </c>
      <c r="AE212" s="35" t="s">
        <v>239</v>
      </c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112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</row>
    <row r="213" ht="15.0" customHeight="1">
      <c r="A213" s="9"/>
      <c r="B213" s="22" t="s">
        <v>835</v>
      </c>
      <c r="C213" s="24">
        <v>9.734</v>
      </c>
      <c r="D213" s="16"/>
      <c r="E213" s="9"/>
      <c r="F213" s="16"/>
      <c r="G213" s="16"/>
      <c r="H213" s="9"/>
      <c r="I213" s="10"/>
      <c r="J213" s="9"/>
      <c r="K213" s="9"/>
      <c r="L213" s="9"/>
      <c r="M213" s="12"/>
      <c r="N213" s="12"/>
      <c r="O213" s="9"/>
      <c r="P213" s="9"/>
      <c r="Q213" s="10"/>
      <c r="R213" s="9"/>
      <c r="S213" s="9"/>
      <c r="T213" s="10"/>
      <c r="U213" s="9"/>
      <c r="V213" s="9"/>
      <c r="W213" s="9"/>
      <c r="X213" s="9"/>
      <c r="Y213" s="9"/>
      <c r="Z213" s="9"/>
      <c r="AA213" s="9"/>
      <c r="AB213" s="9"/>
      <c r="AC213" s="9"/>
      <c r="AD213" s="35" t="s">
        <v>245</v>
      </c>
      <c r="AE213" s="35" t="s">
        <v>246</v>
      </c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112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</row>
    <row r="214" ht="15.0" customHeight="1">
      <c r="A214" s="9"/>
      <c r="B214" s="22" t="s">
        <v>836</v>
      </c>
      <c r="C214" s="24">
        <v>17.6</v>
      </c>
      <c r="D214" s="16"/>
      <c r="E214" s="9"/>
      <c r="F214" s="16"/>
      <c r="G214" s="16"/>
      <c r="H214" s="9"/>
      <c r="I214" s="10"/>
      <c r="J214" s="9"/>
      <c r="K214" s="9"/>
      <c r="L214" s="9"/>
      <c r="M214" s="12"/>
      <c r="N214" s="12"/>
      <c r="O214" s="9"/>
      <c r="P214" s="9"/>
      <c r="Q214" s="10"/>
      <c r="R214" s="9"/>
      <c r="S214" s="9"/>
      <c r="T214" s="10"/>
      <c r="U214" s="9"/>
      <c r="V214" s="9"/>
      <c r="W214" s="9"/>
      <c r="X214" s="9"/>
      <c r="Y214" s="9"/>
      <c r="Z214" s="9"/>
      <c r="AA214" s="9"/>
      <c r="AB214" s="9"/>
      <c r="AC214" s="9"/>
      <c r="AD214" s="35" t="s">
        <v>252</v>
      </c>
      <c r="AE214" s="35" t="s">
        <v>253</v>
      </c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112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</row>
    <row r="215" ht="15.0" customHeight="1">
      <c r="A215" s="9"/>
      <c r="B215" s="22" t="s">
        <v>837</v>
      </c>
      <c r="C215" s="24">
        <v>14.195</v>
      </c>
      <c r="D215" s="16"/>
      <c r="E215" s="9"/>
      <c r="F215" s="16"/>
      <c r="G215" s="16"/>
      <c r="H215" s="9"/>
      <c r="I215" s="10"/>
      <c r="J215" s="9"/>
      <c r="K215" s="9"/>
      <c r="L215" s="9"/>
      <c r="M215" s="12"/>
      <c r="N215" s="12"/>
      <c r="O215" s="9"/>
      <c r="P215" s="9"/>
      <c r="Q215" s="10"/>
      <c r="R215" s="9"/>
      <c r="S215" s="9"/>
      <c r="T215" s="10"/>
      <c r="U215" s="9"/>
      <c r="V215" s="9"/>
      <c r="W215" s="9"/>
      <c r="X215" s="9"/>
      <c r="Y215" s="9"/>
      <c r="Z215" s="9"/>
      <c r="AA215" s="9"/>
      <c r="AB215" s="9"/>
      <c r="AC215" s="9"/>
      <c r="AD215" s="35" t="s">
        <v>261</v>
      </c>
      <c r="AE215" s="35" t="s">
        <v>262</v>
      </c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112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</row>
    <row r="216" ht="15.0" customHeight="1">
      <c r="A216" s="9"/>
      <c r="B216" s="22" t="s">
        <v>838</v>
      </c>
      <c r="C216" s="24">
        <v>19.2</v>
      </c>
      <c r="D216" s="16"/>
      <c r="E216" s="9"/>
      <c r="F216" s="16"/>
      <c r="G216" s="16"/>
      <c r="H216" s="9"/>
      <c r="I216" s="10"/>
      <c r="J216" s="9"/>
      <c r="K216" s="9"/>
      <c r="L216" s="9"/>
      <c r="M216" s="12"/>
      <c r="N216" s="12"/>
      <c r="O216" s="9"/>
      <c r="P216" s="9"/>
      <c r="Q216" s="10"/>
      <c r="R216" s="9"/>
      <c r="S216" s="9"/>
      <c r="T216" s="10"/>
      <c r="U216" s="9"/>
      <c r="V216" s="9"/>
      <c r="W216" s="9"/>
      <c r="X216" s="9"/>
      <c r="Y216" s="9"/>
      <c r="Z216" s="9"/>
      <c r="AA216" s="9"/>
      <c r="AB216" s="9"/>
      <c r="AC216" s="9"/>
      <c r="AD216" s="35" t="s">
        <v>271</v>
      </c>
      <c r="AE216" s="35" t="s">
        <v>272</v>
      </c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112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</row>
    <row r="217" ht="15.0" customHeight="1">
      <c r="A217" s="9"/>
      <c r="B217" s="22" t="s">
        <v>839</v>
      </c>
      <c r="C217" s="24">
        <v>25.6</v>
      </c>
      <c r="D217" s="16"/>
      <c r="E217" s="9"/>
      <c r="F217" s="16"/>
      <c r="G217" s="16"/>
      <c r="H217" s="9"/>
      <c r="I217" s="10"/>
      <c r="J217" s="9"/>
      <c r="K217" s="9"/>
      <c r="L217" s="9"/>
      <c r="M217" s="12"/>
      <c r="N217" s="12"/>
      <c r="O217" s="9"/>
      <c r="P217" s="9"/>
      <c r="Q217" s="10"/>
      <c r="R217" s="9"/>
      <c r="S217" s="9"/>
      <c r="T217" s="10"/>
      <c r="U217" s="9"/>
      <c r="V217" s="9"/>
      <c r="W217" s="9"/>
      <c r="X217" s="9"/>
      <c r="Y217" s="9"/>
      <c r="Z217" s="9"/>
      <c r="AA217" s="9"/>
      <c r="AB217" s="9"/>
      <c r="AC217" s="9"/>
      <c r="AD217" s="35" t="s">
        <v>278</v>
      </c>
      <c r="AE217" s="35" t="s">
        <v>279</v>
      </c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112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</row>
    <row r="218" ht="15.0" customHeight="1">
      <c r="A218" s="9"/>
      <c r="B218" s="22" t="s">
        <v>840</v>
      </c>
      <c r="C218" s="24">
        <v>20.48</v>
      </c>
      <c r="D218" s="16"/>
      <c r="E218" s="121"/>
      <c r="F218" s="16"/>
      <c r="G218" s="16"/>
      <c r="H218" s="9"/>
      <c r="I218" s="9"/>
      <c r="J218" s="9"/>
      <c r="K218" s="9"/>
      <c r="L218" s="9"/>
      <c r="M218" s="12"/>
      <c r="N218" s="12"/>
      <c r="O218" s="9"/>
      <c r="P218" s="9"/>
      <c r="Q218" s="10"/>
      <c r="R218" s="9"/>
      <c r="S218" s="9"/>
      <c r="T218" s="10"/>
      <c r="U218" s="9"/>
      <c r="V218" s="9"/>
      <c r="W218" s="9"/>
      <c r="X218" s="9"/>
      <c r="Y218" s="9"/>
      <c r="Z218" s="9"/>
      <c r="AA218" s="9"/>
      <c r="AB218" s="9"/>
      <c r="AC218" s="9"/>
      <c r="AD218" s="35" t="s">
        <v>286</v>
      </c>
      <c r="AE218" s="35" t="s">
        <v>287</v>
      </c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112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</row>
    <row r="219" ht="15.0" customHeight="1">
      <c r="A219" s="9"/>
      <c r="B219" s="22" t="s">
        <v>841</v>
      </c>
      <c r="C219" s="24">
        <v>28.161</v>
      </c>
      <c r="D219" s="16"/>
      <c r="E219" s="121"/>
      <c r="F219" s="16"/>
      <c r="G219" s="16"/>
      <c r="H219" s="9"/>
      <c r="I219" s="9"/>
      <c r="J219" s="9"/>
      <c r="K219" s="9"/>
      <c r="L219" s="9"/>
      <c r="M219" s="12"/>
      <c r="N219" s="12"/>
      <c r="O219" s="9"/>
      <c r="P219" s="9"/>
      <c r="Q219" s="10"/>
      <c r="R219" s="9"/>
      <c r="S219" s="9"/>
      <c r="T219" s="10"/>
      <c r="U219" s="9"/>
      <c r="V219" s="9"/>
      <c r="W219" s="9"/>
      <c r="X219" s="9"/>
      <c r="Y219" s="9"/>
      <c r="Z219" s="9"/>
      <c r="AA219" s="9"/>
      <c r="AB219" s="9"/>
      <c r="AC219" s="9"/>
      <c r="AD219" s="35" t="s">
        <v>294</v>
      </c>
      <c r="AE219" s="35" t="s">
        <v>295</v>
      </c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112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</row>
    <row r="220" ht="15.0" customHeight="1">
      <c r="A220" s="9"/>
      <c r="B220" s="22" t="s">
        <v>842</v>
      </c>
      <c r="C220" s="24">
        <v>38.401</v>
      </c>
      <c r="D220" s="16"/>
      <c r="E220" s="121"/>
      <c r="F220" s="16"/>
      <c r="G220" s="16"/>
      <c r="H220" s="9"/>
      <c r="I220" s="9"/>
      <c r="J220" s="9"/>
      <c r="K220" s="9"/>
      <c r="L220" s="9"/>
      <c r="M220" s="12"/>
      <c r="N220" s="12"/>
      <c r="O220" s="9"/>
      <c r="P220" s="9"/>
      <c r="Q220" s="10"/>
      <c r="R220" s="9"/>
      <c r="S220" s="9"/>
      <c r="T220" s="10"/>
      <c r="U220" s="9"/>
      <c r="V220" s="9"/>
      <c r="W220" s="9"/>
      <c r="X220" s="9"/>
      <c r="Y220" s="9"/>
      <c r="Z220" s="9"/>
      <c r="AA220" s="9"/>
      <c r="AB220" s="9"/>
      <c r="AC220" s="9"/>
      <c r="AD220" s="35" t="s">
        <v>303</v>
      </c>
      <c r="AE220" s="35" t="s">
        <v>304</v>
      </c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112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</row>
    <row r="221" ht="15.0" customHeight="1">
      <c r="A221" s="9"/>
      <c r="B221" s="22" t="s">
        <v>843</v>
      </c>
      <c r="C221" s="24">
        <v>30.721</v>
      </c>
      <c r="D221" s="16"/>
      <c r="E221" s="121"/>
      <c r="F221" s="16"/>
      <c r="G221" s="16"/>
      <c r="H221" s="9"/>
      <c r="I221" s="9"/>
      <c r="J221" s="9"/>
      <c r="K221" s="9"/>
      <c r="L221" s="9"/>
      <c r="M221" s="12"/>
      <c r="N221" s="12"/>
      <c r="O221" s="9"/>
      <c r="P221" s="9"/>
      <c r="Q221" s="10"/>
      <c r="R221" s="9"/>
      <c r="S221" s="9"/>
      <c r="T221" s="10"/>
      <c r="U221" s="9"/>
      <c r="V221" s="9"/>
      <c r="W221" s="9"/>
      <c r="X221" s="9"/>
      <c r="Y221" s="9"/>
      <c r="Z221" s="9"/>
      <c r="AA221" s="9"/>
      <c r="AB221" s="9"/>
      <c r="AC221" s="9"/>
      <c r="AD221" s="35" t="s">
        <v>311</v>
      </c>
      <c r="AE221" s="35" t="s">
        <v>312</v>
      </c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112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</row>
    <row r="222" ht="15.0" customHeight="1">
      <c r="A222" s="9"/>
      <c r="B222" s="22" t="s">
        <v>844</v>
      </c>
      <c r="C222" s="24">
        <v>40.961</v>
      </c>
      <c r="D222" s="16"/>
      <c r="E222" s="121"/>
      <c r="F222" s="16"/>
      <c r="G222" s="16"/>
      <c r="H222" s="9"/>
      <c r="I222" s="9"/>
      <c r="J222" s="9"/>
      <c r="K222" s="9"/>
      <c r="L222" s="9"/>
      <c r="M222" s="12"/>
      <c r="N222" s="12"/>
      <c r="O222" s="9"/>
      <c r="P222" s="9"/>
      <c r="Q222" s="10"/>
      <c r="R222" s="9"/>
      <c r="S222" s="9"/>
      <c r="T222" s="10"/>
      <c r="U222" s="9"/>
      <c r="V222" s="9"/>
      <c r="W222" s="9"/>
      <c r="X222" s="9"/>
      <c r="Y222" s="9"/>
      <c r="Z222" s="9"/>
      <c r="AA222" s="9"/>
      <c r="AB222" s="9"/>
      <c r="AC222" s="9"/>
      <c r="AD222" s="35" t="s">
        <v>319</v>
      </c>
      <c r="AE222" s="35" t="s">
        <v>320</v>
      </c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112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</row>
    <row r="223" ht="15.0" customHeight="1">
      <c r="A223" s="9"/>
      <c r="B223" s="22" t="s">
        <v>845</v>
      </c>
      <c r="C223" s="24">
        <v>42.881</v>
      </c>
      <c r="D223" s="16"/>
      <c r="E223" s="121"/>
      <c r="F223" s="16"/>
      <c r="G223" s="16"/>
      <c r="H223" s="9"/>
      <c r="I223" s="9"/>
      <c r="J223" s="9"/>
      <c r="K223" s="9"/>
      <c r="L223" s="9"/>
      <c r="M223" s="12"/>
      <c r="N223" s="12"/>
      <c r="O223" s="9"/>
      <c r="P223" s="9"/>
      <c r="Q223" s="10"/>
      <c r="R223" s="9"/>
      <c r="S223" s="9"/>
      <c r="T223" s="10"/>
      <c r="U223" s="9"/>
      <c r="V223" s="9"/>
      <c r="W223" s="9"/>
      <c r="X223" s="9"/>
      <c r="Y223" s="9"/>
      <c r="Z223" s="9"/>
      <c r="AA223" s="9"/>
      <c r="AB223" s="9"/>
      <c r="AC223" s="9"/>
      <c r="AD223" s="35" t="s">
        <v>329</v>
      </c>
      <c r="AE223" s="35" t="s">
        <v>330</v>
      </c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112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</row>
    <row r="224" ht="15.0" customHeight="1">
      <c r="A224" s="9"/>
      <c r="B224" s="22" t="s">
        <v>846</v>
      </c>
      <c r="C224" s="24">
        <v>53.6</v>
      </c>
      <c r="D224" s="16"/>
      <c r="E224" s="121"/>
      <c r="F224" s="16"/>
      <c r="G224" s="16"/>
      <c r="H224" s="9"/>
      <c r="I224" s="9"/>
      <c r="J224" s="9"/>
      <c r="K224" s="9"/>
      <c r="L224" s="9"/>
      <c r="M224" s="12"/>
      <c r="N224" s="12"/>
      <c r="O224" s="9"/>
      <c r="P224" s="9"/>
      <c r="Q224" s="10"/>
      <c r="R224" s="9"/>
      <c r="S224" s="9"/>
      <c r="T224" s="10"/>
      <c r="U224" s="9"/>
      <c r="V224" s="9"/>
      <c r="W224" s="9"/>
      <c r="X224" s="9"/>
      <c r="Y224" s="9"/>
      <c r="Z224" s="9"/>
      <c r="AA224" s="9"/>
      <c r="AB224" s="9"/>
      <c r="AC224" s="9"/>
      <c r="AD224" s="35" t="s">
        <v>341</v>
      </c>
      <c r="AE224" s="35" t="s">
        <v>342</v>
      </c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112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</row>
    <row r="225" ht="15.0" customHeight="1">
      <c r="A225" s="9"/>
      <c r="B225" s="22" t="s">
        <v>847</v>
      </c>
      <c r="C225" s="24">
        <v>57.601</v>
      </c>
      <c r="D225" s="16"/>
      <c r="E225" s="121"/>
      <c r="F225" s="16"/>
      <c r="G225" s="16"/>
      <c r="H225" s="9"/>
      <c r="I225" s="9"/>
      <c r="J225" s="9"/>
      <c r="K225" s="9"/>
      <c r="L225" s="9"/>
      <c r="M225" s="12"/>
      <c r="N225" s="12"/>
      <c r="O225" s="9"/>
      <c r="P225" s="9"/>
      <c r="Q225" s="10"/>
      <c r="R225" s="9"/>
      <c r="S225" s="9"/>
      <c r="T225" s="10"/>
      <c r="U225" s="9"/>
      <c r="V225" s="9"/>
      <c r="W225" s="9"/>
      <c r="X225" s="9"/>
      <c r="Y225" s="9"/>
      <c r="Z225" s="9"/>
      <c r="AA225" s="9"/>
      <c r="AB225" s="9"/>
      <c r="AC225" s="9"/>
      <c r="AD225" s="35" t="s">
        <v>350</v>
      </c>
      <c r="AE225" s="35" t="s">
        <v>351</v>
      </c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112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</row>
    <row r="226" ht="15.0" customHeight="1">
      <c r="A226" s="9"/>
      <c r="B226" s="22" t="s">
        <v>848</v>
      </c>
      <c r="C226" s="24">
        <v>46.081</v>
      </c>
      <c r="D226" s="16"/>
      <c r="E226" s="121"/>
      <c r="F226" s="16"/>
      <c r="G226" s="16"/>
      <c r="H226" s="9"/>
      <c r="I226" s="9"/>
      <c r="J226" s="9"/>
      <c r="K226" s="9"/>
      <c r="L226" s="9"/>
      <c r="M226" s="12"/>
      <c r="N226" s="12"/>
      <c r="O226" s="9"/>
      <c r="P226" s="9"/>
      <c r="Q226" s="10"/>
      <c r="R226" s="9"/>
      <c r="S226" s="9"/>
      <c r="T226" s="10"/>
      <c r="U226" s="9"/>
      <c r="V226" s="9"/>
      <c r="W226" s="9"/>
      <c r="X226" s="9"/>
      <c r="Y226" s="9"/>
      <c r="Z226" s="9"/>
      <c r="AA226" s="9"/>
      <c r="AB226" s="9"/>
      <c r="AC226" s="9"/>
      <c r="AD226" s="35">
        <v>403.0</v>
      </c>
      <c r="AE226" s="35" t="s">
        <v>28</v>
      </c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112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</row>
    <row r="227" ht="15.0" customHeight="1">
      <c r="A227" s="9"/>
      <c r="B227" s="22" t="s">
        <v>849</v>
      </c>
      <c r="C227" s="24">
        <v>64.001</v>
      </c>
      <c r="D227" s="16"/>
      <c r="E227" s="10"/>
      <c r="F227" s="16"/>
      <c r="G227" s="16"/>
      <c r="H227" s="9"/>
      <c r="I227" s="9"/>
      <c r="J227" s="9"/>
      <c r="K227" s="9"/>
      <c r="L227" s="9"/>
      <c r="M227" s="12"/>
      <c r="N227" s="12"/>
      <c r="O227" s="9"/>
      <c r="P227" s="9"/>
      <c r="Q227" s="10"/>
      <c r="R227" s="9"/>
      <c r="S227" s="9"/>
      <c r="T227" s="10"/>
      <c r="U227" s="9"/>
      <c r="V227" s="9"/>
      <c r="W227" s="9"/>
      <c r="X227" s="9"/>
      <c r="Y227" s="9"/>
      <c r="Z227" s="9"/>
      <c r="AA227" s="9"/>
      <c r="AB227" s="9"/>
      <c r="AC227" s="9"/>
      <c r="AD227" s="35">
        <v>407.0</v>
      </c>
      <c r="AE227" s="35" t="s">
        <v>45</v>
      </c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112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</row>
    <row r="228" ht="15.0" customHeight="1">
      <c r="A228" s="9"/>
      <c r="B228" s="22" t="s">
        <v>850</v>
      </c>
      <c r="C228" s="24">
        <v>80.002</v>
      </c>
      <c r="D228" s="9"/>
      <c r="E228" s="10"/>
      <c r="F228" s="16"/>
      <c r="G228" s="16"/>
      <c r="H228" s="9"/>
      <c r="I228" s="9"/>
      <c r="J228" s="9"/>
      <c r="K228" s="9"/>
      <c r="L228" s="9"/>
      <c r="M228" s="12"/>
      <c r="N228" s="12"/>
      <c r="O228" s="9"/>
      <c r="P228" s="9"/>
      <c r="Q228" s="10"/>
      <c r="R228" s="9"/>
      <c r="S228" s="9"/>
      <c r="T228" s="10"/>
      <c r="U228" s="9"/>
      <c r="V228" s="9"/>
      <c r="W228" s="9"/>
      <c r="X228" s="9"/>
      <c r="Y228" s="9"/>
      <c r="Z228" s="9"/>
      <c r="AA228" s="9"/>
      <c r="AB228" s="9"/>
      <c r="AC228" s="9"/>
      <c r="AD228" s="35">
        <v>410.0</v>
      </c>
      <c r="AE228" s="35" t="s">
        <v>66</v>
      </c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112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</row>
    <row r="229" ht="15.0" customHeight="1">
      <c r="A229" s="9"/>
      <c r="B229" s="22" t="s">
        <v>851</v>
      </c>
      <c r="C229" s="24">
        <v>4.482</v>
      </c>
      <c r="D229" s="9"/>
      <c r="E229" s="10"/>
      <c r="F229" s="16"/>
      <c r="G229" s="16"/>
      <c r="H229" s="9"/>
      <c r="I229" s="9"/>
      <c r="J229" s="9"/>
      <c r="K229" s="9"/>
      <c r="L229" s="9"/>
      <c r="M229" s="12"/>
      <c r="N229" s="12"/>
      <c r="O229" s="9"/>
      <c r="P229" s="9"/>
      <c r="Q229" s="10"/>
      <c r="R229" s="9"/>
      <c r="S229" s="9"/>
      <c r="T229" s="10"/>
      <c r="U229" s="9"/>
      <c r="V229" s="9"/>
      <c r="W229" s="9"/>
      <c r="X229" s="9"/>
      <c r="Y229" s="9"/>
      <c r="Z229" s="9"/>
      <c r="AA229" s="9"/>
      <c r="AB229" s="9"/>
      <c r="AC229" s="9"/>
      <c r="AD229" s="35">
        <v>411.0</v>
      </c>
      <c r="AE229" s="35" t="s">
        <v>90</v>
      </c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112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</row>
    <row r="230" ht="15.0" customHeight="1">
      <c r="A230" s="9"/>
      <c r="B230" s="22" t="s">
        <v>852</v>
      </c>
      <c r="C230" s="24">
        <v>4.899</v>
      </c>
      <c r="D230" s="9"/>
      <c r="E230" s="10"/>
      <c r="F230" s="16"/>
      <c r="G230" s="16"/>
      <c r="H230" s="9"/>
      <c r="I230" s="9"/>
      <c r="J230" s="9"/>
      <c r="K230" s="9"/>
      <c r="L230" s="9"/>
      <c r="M230" s="12"/>
      <c r="N230" s="12"/>
      <c r="O230" s="9"/>
      <c r="P230" s="9"/>
      <c r="Q230" s="10"/>
      <c r="R230" s="9"/>
      <c r="S230" s="9"/>
      <c r="T230" s="10"/>
      <c r="U230" s="9"/>
      <c r="V230" s="9"/>
      <c r="W230" s="9"/>
      <c r="X230" s="9"/>
      <c r="Y230" s="9"/>
      <c r="Z230" s="9"/>
      <c r="AA230" s="9"/>
      <c r="AB230" s="9"/>
      <c r="AC230" s="9"/>
      <c r="AD230" s="35">
        <v>412.0</v>
      </c>
      <c r="AE230" s="35" t="s">
        <v>104</v>
      </c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112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</row>
    <row r="231" ht="15.0" customHeight="1">
      <c r="A231" s="9"/>
      <c r="B231" s="22" t="s">
        <v>853</v>
      </c>
      <c r="C231" s="24">
        <v>5.327</v>
      </c>
      <c r="D231" s="9"/>
      <c r="E231" s="10"/>
      <c r="F231" s="16"/>
      <c r="G231" s="16"/>
      <c r="H231" s="9"/>
      <c r="I231" s="9"/>
      <c r="J231" s="9"/>
      <c r="K231" s="9"/>
      <c r="L231" s="9"/>
      <c r="M231" s="12"/>
      <c r="N231" s="12"/>
      <c r="O231" s="9"/>
      <c r="P231" s="9"/>
      <c r="Q231" s="10"/>
      <c r="R231" s="9"/>
      <c r="S231" s="9"/>
      <c r="T231" s="10"/>
      <c r="U231" s="9"/>
      <c r="V231" s="9"/>
      <c r="W231" s="9"/>
      <c r="X231" s="9"/>
      <c r="Y231" s="9"/>
      <c r="Z231" s="9"/>
      <c r="AA231" s="9"/>
      <c r="AB231" s="9"/>
      <c r="AC231" s="9"/>
      <c r="AD231" s="35">
        <v>413.0</v>
      </c>
      <c r="AE231" s="35" t="s">
        <v>119</v>
      </c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112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</row>
    <row r="232" ht="15.0" customHeight="1">
      <c r="A232" s="9"/>
      <c r="B232" s="22" t="s">
        <v>854</v>
      </c>
      <c r="C232" s="24">
        <v>5.778</v>
      </c>
      <c r="D232" s="9"/>
      <c r="E232" s="10"/>
      <c r="F232" s="16"/>
      <c r="G232" s="16"/>
      <c r="H232" s="9"/>
      <c r="I232" s="9"/>
      <c r="J232" s="9"/>
      <c r="K232" s="9"/>
      <c r="L232" s="9"/>
      <c r="M232" s="12"/>
      <c r="N232" s="12"/>
      <c r="O232" s="9"/>
      <c r="P232" s="9"/>
      <c r="Q232" s="10"/>
      <c r="R232" s="9"/>
      <c r="S232" s="9"/>
      <c r="T232" s="10"/>
      <c r="U232" s="9"/>
      <c r="V232" s="9"/>
      <c r="W232" s="9"/>
      <c r="X232" s="9"/>
      <c r="Y232" s="9"/>
      <c r="Z232" s="9"/>
      <c r="AA232" s="9"/>
      <c r="AB232" s="9"/>
      <c r="AC232" s="9"/>
      <c r="AD232" s="35">
        <v>414.0</v>
      </c>
      <c r="AE232" s="35" t="s">
        <v>130</v>
      </c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112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</row>
    <row r="233" ht="15.0" customHeight="1">
      <c r="A233" s="9"/>
      <c r="B233" s="22" t="s">
        <v>96</v>
      </c>
      <c r="C233" s="24" t="s">
        <v>96</v>
      </c>
      <c r="D233" s="16" t="s">
        <v>13</v>
      </c>
      <c r="E233" s="10"/>
      <c r="F233" s="16"/>
      <c r="G233" s="16"/>
      <c r="H233" s="9"/>
      <c r="I233" s="9"/>
      <c r="J233" s="9"/>
      <c r="K233" s="9"/>
      <c r="L233" s="9"/>
      <c r="M233" s="12"/>
      <c r="N233" s="12"/>
      <c r="O233" s="9"/>
      <c r="P233" s="9"/>
      <c r="Q233" s="10"/>
      <c r="R233" s="9"/>
      <c r="S233" s="9"/>
      <c r="T233" s="10"/>
      <c r="U233" s="9"/>
      <c r="V233" s="9"/>
      <c r="W233" s="9"/>
      <c r="X233" s="9"/>
      <c r="Y233" s="9"/>
      <c r="Z233" s="9"/>
      <c r="AA233" s="9"/>
      <c r="AB233" s="9"/>
      <c r="AC233" s="9"/>
      <c r="AD233" s="35">
        <v>415.0</v>
      </c>
      <c r="AE233" s="35" t="s">
        <v>140</v>
      </c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112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</row>
    <row r="234" ht="15.0" customHeight="1">
      <c r="A234" s="9"/>
      <c r="B234" s="22" t="s">
        <v>855</v>
      </c>
      <c r="C234" s="24">
        <v>9.12</v>
      </c>
      <c r="D234" s="9"/>
      <c r="E234" s="10"/>
      <c r="F234" s="16"/>
      <c r="G234" s="16"/>
      <c r="H234" s="9"/>
      <c r="I234" s="9"/>
      <c r="J234" s="9"/>
      <c r="K234" s="9"/>
      <c r="L234" s="9"/>
      <c r="M234" s="12"/>
      <c r="N234" s="12"/>
      <c r="O234" s="9"/>
      <c r="P234" s="9"/>
      <c r="Q234" s="10"/>
      <c r="R234" s="9"/>
      <c r="S234" s="9"/>
      <c r="T234" s="10"/>
      <c r="U234" s="9"/>
      <c r="V234" s="9"/>
      <c r="W234" s="9"/>
      <c r="X234" s="9"/>
      <c r="Y234" s="9"/>
      <c r="Z234" s="9"/>
      <c r="AA234" s="9"/>
      <c r="AB234" s="9"/>
      <c r="AC234" s="9"/>
      <c r="AD234" s="35">
        <v>418.0</v>
      </c>
      <c r="AE234" s="35" t="s">
        <v>150</v>
      </c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112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</row>
    <row r="235" ht="15.0" customHeight="1">
      <c r="A235" s="9"/>
      <c r="B235" s="22" t="s">
        <v>856</v>
      </c>
      <c r="C235" s="24">
        <v>9.24</v>
      </c>
      <c r="D235" s="9"/>
      <c r="E235" s="10"/>
      <c r="F235" s="16"/>
      <c r="G235" s="16"/>
      <c r="H235" s="9"/>
      <c r="I235" s="9"/>
      <c r="J235" s="9"/>
      <c r="K235" s="9"/>
      <c r="L235" s="9"/>
      <c r="M235" s="12"/>
      <c r="N235" s="12"/>
      <c r="O235" s="9"/>
      <c r="P235" s="9"/>
      <c r="Q235" s="10"/>
      <c r="R235" s="9"/>
      <c r="S235" s="9"/>
      <c r="T235" s="10"/>
      <c r="U235" s="9"/>
      <c r="V235" s="9"/>
      <c r="W235" s="9"/>
      <c r="X235" s="9"/>
      <c r="Y235" s="9"/>
      <c r="Z235" s="9"/>
      <c r="AA235" s="9"/>
      <c r="AB235" s="9"/>
      <c r="AC235" s="9"/>
      <c r="AD235" s="35">
        <v>425.0</v>
      </c>
      <c r="AE235" s="35" t="s">
        <v>161</v>
      </c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112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</row>
    <row r="236" ht="15.0" customHeight="1">
      <c r="A236" s="9"/>
      <c r="B236" s="22" t="s">
        <v>857</v>
      </c>
      <c r="C236" s="24">
        <v>9.22</v>
      </c>
      <c r="D236" s="9"/>
      <c r="E236" s="10"/>
      <c r="F236" s="16"/>
      <c r="G236" s="16"/>
      <c r="H236" s="9"/>
      <c r="I236" s="9"/>
      <c r="J236" s="9"/>
      <c r="K236" s="9"/>
      <c r="L236" s="9"/>
      <c r="M236" s="12"/>
      <c r="N236" s="12"/>
      <c r="O236" s="9"/>
      <c r="P236" s="9"/>
      <c r="Q236" s="10"/>
      <c r="R236" s="9"/>
      <c r="S236" s="9"/>
      <c r="T236" s="10"/>
      <c r="U236" s="9"/>
      <c r="V236" s="9"/>
      <c r="W236" s="9"/>
      <c r="X236" s="9"/>
      <c r="Y236" s="9"/>
      <c r="Z236" s="9"/>
      <c r="AA236" s="9"/>
      <c r="AB236" s="9"/>
      <c r="AC236" s="9"/>
      <c r="AD236" s="35">
        <v>426.0</v>
      </c>
      <c r="AE236" s="35" t="s">
        <v>173</v>
      </c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112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</row>
    <row r="237" ht="15.0" customHeight="1">
      <c r="A237" s="9"/>
      <c r="B237" s="22" t="s">
        <v>858</v>
      </c>
      <c r="C237" s="24">
        <v>8.6</v>
      </c>
      <c r="D237" s="9"/>
      <c r="E237" s="10"/>
      <c r="F237" s="16"/>
      <c r="G237" s="16"/>
      <c r="H237" s="9"/>
      <c r="I237" s="9"/>
      <c r="J237" s="9"/>
      <c r="K237" s="9"/>
      <c r="L237" s="9"/>
      <c r="M237" s="12"/>
      <c r="N237" s="12"/>
      <c r="O237" s="9"/>
      <c r="P237" s="9"/>
      <c r="Q237" s="10"/>
      <c r="R237" s="9"/>
      <c r="S237" s="9"/>
      <c r="T237" s="10"/>
      <c r="U237" s="9"/>
      <c r="V237" s="9"/>
      <c r="W237" s="9"/>
      <c r="X237" s="9"/>
      <c r="Y237" s="9"/>
      <c r="Z237" s="9"/>
      <c r="AA237" s="9"/>
      <c r="AB237" s="9"/>
      <c r="AC237" s="9"/>
      <c r="AD237" s="35">
        <v>427.0</v>
      </c>
      <c r="AE237" s="35" t="s">
        <v>181</v>
      </c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112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</row>
    <row r="238" ht="15.0" customHeight="1">
      <c r="A238" s="9"/>
      <c r="B238" s="22" t="s">
        <v>859</v>
      </c>
      <c r="C238" s="24">
        <v>15.61</v>
      </c>
      <c r="D238" s="9"/>
      <c r="E238" s="10"/>
      <c r="F238" s="16"/>
      <c r="G238" s="16"/>
      <c r="H238" s="9"/>
      <c r="I238" s="9"/>
      <c r="J238" s="9"/>
      <c r="K238" s="9"/>
      <c r="L238" s="9"/>
      <c r="M238" s="12"/>
      <c r="N238" s="12"/>
      <c r="O238" s="9"/>
      <c r="P238" s="9"/>
      <c r="Q238" s="10"/>
      <c r="R238" s="9"/>
      <c r="S238" s="9"/>
      <c r="T238" s="10"/>
      <c r="U238" s="9"/>
      <c r="V238" s="9"/>
      <c r="W238" s="9"/>
      <c r="X238" s="9"/>
      <c r="Y238" s="9"/>
      <c r="Z238" s="9"/>
      <c r="AA238" s="9"/>
      <c r="AB238" s="9"/>
      <c r="AC238" s="9"/>
      <c r="AD238" s="35">
        <v>429.0</v>
      </c>
      <c r="AE238" s="35" t="s">
        <v>189</v>
      </c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112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</row>
    <row r="239" ht="15.0" customHeight="1">
      <c r="A239" s="9"/>
      <c r="B239" s="22" t="s">
        <v>860</v>
      </c>
      <c r="C239" s="24">
        <v>15.49</v>
      </c>
      <c r="D239" s="9"/>
      <c r="E239" s="10"/>
      <c r="F239" s="16"/>
      <c r="G239" s="16"/>
      <c r="H239" s="9"/>
      <c r="I239" s="9"/>
      <c r="J239" s="9"/>
      <c r="K239" s="9"/>
      <c r="L239" s="9"/>
      <c r="M239" s="12"/>
      <c r="N239" s="12"/>
      <c r="O239" s="9"/>
      <c r="P239" s="9"/>
      <c r="Q239" s="10"/>
      <c r="R239" s="9"/>
      <c r="S239" s="9"/>
      <c r="T239" s="10"/>
      <c r="U239" s="9"/>
      <c r="V239" s="9"/>
      <c r="W239" s="9"/>
      <c r="X239" s="9"/>
      <c r="Y239" s="9"/>
      <c r="Z239" s="9"/>
      <c r="AA239" s="9"/>
      <c r="AB239" s="9"/>
      <c r="AC239" s="9"/>
      <c r="AD239" s="35">
        <v>430.0</v>
      </c>
      <c r="AE239" s="35" t="s">
        <v>197</v>
      </c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112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</row>
    <row r="240" ht="15.0" customHeight="1">
      <c r="A240" s="9"/>
      <c r="B240" s="22" t="s">
        <v>861</v>
      </c>
      <c r="C240" s="24">
        <v>15.59</v>
      </c>
      <c r="D240" s="9"/>
      <c r="E240" s="10"/>
      <c r="F240" s="16"/>
      <c r="G240" s="16"/>
      <c r="H240" s="9"/>
      <c r="I240" s="9"/>
      <c r="J240" s="9"/>
      <c r="K240" s="9"/>
      <c r="L240" s="9"/>
      <c r="M240" s="12"/>
      <c r="N240" s="12"/>
      <c r="O240" s="9"/>
      <c r="P240" s="9"/>
      <c r="Q240" s="10"/>
      <c r="R240" s="9"/>
      <c r="S240" s="9"/>
      <c r="T240" s="10"/>
      <c r="U240" s="9"/>
      <c r="V240" s="9"/>
      <c r="W240" s="9"/>
      <c r="X240" s="9"/>
      <c r="Y240" s="9"/>
      <c r="Z240" s="9"/>
      <c r="AA240" s="9"/>
      <c r="AB240" s="9"/>
      <c r="AC240" s="9"/>
      <c r="AD240" s="35">
        <v>434.0</v>
      </c>
      <c r="AE240" s="35" t="s">
        <v>206</v>
      </c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112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</row>
    <row r="241" ht="15.0" customHeight="1">
      <c r="A241" s="9"/>
      <c r="B241" s="22" t="s">
        <v>862</v>
      </c>
      <c r="C241" s="24">
        <v>14.97</v>
      </c>
      <c r="D241" s="9"/>
      <c r="E241" s="10"/>
      <c r="F241" s="16"/>
      <c r="G241" s="16"/>
      <c r="H241" s="9"/>
      <c r="I241" s="9"/>
      <c r="J241" s="9"/>
      <c r="K241" s="9"/>
      <c r="L241" s="9"/>
      <c r="M241" s="12"/>
      <c r="N241" s="12"/>
      <c r="O241" s="9"/>
      <c r="P241" s="9"/>
      <c r="Q241" s="10"/>
      <c r="R241" s="9"/>
      <c r="S241" s="9"/>
      <c r="T241" s="10"/>
      <c r="U241" s="9"/>
      <c r="V241" s="9"/>
      <c r="W241" s="9"/>
      <c r="X241" s="9"/>
      <c r="Y241" s="9"/>
      <c r="Z241" s="9"/>
      <c r="AA241" s="9"/>
      <c r="AB241" s="9"/>
      <c r="AC241" s="9"/>
      <c r="AD241" s="35">
        <v>435.0</v>
      </c>
      <c r="AE241" s="35" t="s">
        <v>214</v>
      </c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112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</row>
    <row r="242" ht="15.0" customHeight="1">
      <c r="A242" s="9"/>
      <c r="B242" s="22" t="s">
        <v>863</v>
      </c>
      <c r="C242" s="24">
        <v>19.671</v>
      </c>
      <c r="D242" s="9"/>
      <c r="E242" s="10"/>
      <c r="F242" s="16"/>
      <c r="G242" s="16"/>
      <c r="H242" s="9"/>
      <c r="I242" s="9"/>
      <c r="J242" s="9"/>
      <c r="K242" s="9"/>
      <c r="L242" s="9"/>
      <c r="M242" s="12"/>
      <c r="N242" s="12"/>
      <c r="O242" s="9"/>
      <c r="P242" s="9"/>
      <c r="Q242" s="10"/>
      <c r="R242" s="9"/>
      <c r="S242" s="9"/>
      <c r="T242" s="10"/>
      <c r="U242" s="9"/>
      <c r="V242" s="9"/>
      <c r="W242" s="9"/>
      <c r="X242" s="9"/>
      <c r="Y242" s="9"/>
      <c r="Z242" s="9"/>
      <c r="AA242" s="9"/>
      <c r="AB242" s="9"/>
      <c r="AC242" s="9"/>
      <c r="AD242" s="35">
        <v>436.0</v>
      </c>
      <c r="AE242" s="35" t="s">
        <v>224</v>
      </c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112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</row>
    <row r="243" ht="15.0" customHeight="1">
      <c r="A243" s="9"/>
      <c r="B243" s="22" t="s">
        <v>864</v>
      </c>
      <c r="C243" s="24">
        <v>19.738</v>
      </c>
      <c r="D243" s="9"/>
      <c r="E243" s="10"/>
      <c r="F243" s="16"/>
      <c r="G243" s="16"/>
      <c r="H243" s="9"/>
      <c r="I243" s="9"/>
      <c r="J243" s="9"/>
      <c r="K243" s="9"/>
      <c r="L243" s="9"/>
      <c r="M243" s="12"/>
      <c r="N243" s="12"/>
      <c r="O243" s="9"/>
      <c r="P243" s="9"/>
      <c r="Q243" s="10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35">
        <v>438.0</v>
      </c>
      <c r="AE243" s="35" t="s">
        <v>236</v>
      </c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112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</row>
    <row r="244" ht="15.0" customHeight="1">
      <c r="A244" s="9"/>
      <c r="B244" s="22" t="s">
        <v>865</v>
      </c>
      <c r="C244" s="24">
        <v>19.438</v>
      </c>
      <c r="D244" s="9"/>
      <c r="E244" s="10"/>
      <c r="F244" s="16"/>
      <c r="G244" s="16"/>
      <c r="H244" s="9"/>
      <c r="I244" s="9"/>
      <c r="J244" s="9"/>
      <c r="K244" s="9"/>
      <c r="L244" s="9"/>
      <c r="M244" s="12"/>
      <c r="N244" s="12"/>
      <c r="O244" s="9"/>
      <c r="P244" s="9"/>
      <c r="Q244" s="10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35">
        <v>439.0</v>
      </c>
      <c r="AE244" s="35" t="s">
        <v>244</v>
      </c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112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</row>
    <row r="245" ht="15.0" customHeight="1">
      <c r="A245" s="9"/>
      <c r="B245" s="22" t="s">
        <v>866</v>
      </c>
      <c r="C245" s="24">
        <v>19.696</v>
      </c>
      <c r="D245" s="9"/>
      <c r="E245" s="10"/>
      <c r="F245" s="16"/>
      <c r="G245" s="16"/>
      <c r="H245" s="9"/>
      <c r="I245" s="9"/>
      <c r="J245" s="9"/>
      <c r="K245" s="9"/>
      <c r="L245" s="9"/>
      <c r="M245" s="12"/>
      <c r="N245" s="12"/>
      <c r="O245" s="9"/>
      <c r="P245" s="9"/>
      <c r="Q245" s="10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35">
        <v>440.0</v>
      </c>
      <c r="AE245" s="35" t="s">
        <v>251</v>
      </c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112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</row>
    <row r="246" ht="15.0" customHeight="1">
      <c r="A246" s="9"/>
      <c r="B246" s="22" t="s">
        <v>867</v>
      </c>
      <c r="C246" s="24">
        <v>19.438</v>
      </c>
      <c r="D246" s="9"/>
      <c r="E246" s="10"/>
      <c r="F246" s="16"/>
      <c r="G246" s="16"/>
      <c r="H246" s="9"/>
      <c r="I246" s="9"/>
      <c r="J246" s="9"/>
      <c r="K246" s="9"/>
      <c r="L246" s="9"/>
      <c r="M246" s="12"/>
      <c r="N246" s="12"/>
      <c r="O246" s="9"/>
      <c r="P246" s="9"/>
      <c r="Q246" s="10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35">
        <v>441.0</v>
      </c>
      <c r="AE246" s="35" t="s">
        <v>259</v>
      </c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112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</row>
    <row r="247" ht="15.0" customHeight="1">
      <c r="A247" s="9"/>
      <c r="B247" s="22" t="s">
        <v>868</v>
      </c>
      <c r="C247" s="24">
        <v>21.72</v>
      </c>
      <c r="D247" s="9"/>
      <c r="E247" s="10"/>
      <c r="F247" s="16"/>
      <c r="G247" s="16"/>
      <c r="H247" s="9"/>
      <c r="I247" s="9"/>
      <c r="J247" s="9"/>
      <c r="K247" s="9"/>
      <c r="L247" s="9"/>
      <c r="M247" s="12"/>
      <c r="N247" s="12"/>
      <c r="O247" s="9"/>
      <c r="P247" s="9"/>
      <c r="Q247" s="10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35">
        <v>442.0</v>
      </c>
      <c r="AE247" s="35" t="s">
        <v>269</v>
      </c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112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</row>
    <row r="248" ht="15.0" customHeight="1">
      <c r="A248" s="9"/>
      <c r="B248" s="22" t="s">
        <v>869</v>
      </c>
      <c r="C248" s="24">
        <v>21.84</v>
      </c>
      <c r="D248" s="9"/>
      <c r="E248" s="10"/>
      <c r="F248" s="16"/>
      <c r="G248" s="16"/>
      <c r="H248" s="9"/>
      <c r="I248" s="9"/>
      <c r="J248" s="9"/>
      <c r="K248" s="9"/>
      <c r="L248" s="9"/>
      <c r="M248" s="12"/>
      <c r="N248" s="12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35">
        <v>443.0</v>
      </c>
      <c r="AE248" s="35" t="s">
        <v>277</v>
      </c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112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</row>
    <row r="249" ht="15.0" customHeight="1">
      <c r="A249" s="9"/>
      <c r="B249" s="22" t="s">
        <v>870</v>
      </c>
      <c r="C249" s="24">
        <v>21.21</v>
      </c>
      <c r="D249" s="9"/>
      <c r="E249" s="10"/>
      <c r="F249" s="16"/>
      <c r="G249" s="16"/>
      <c r="H249" s="9"/>
      <c r="I249" s="9"/>
      <c r="J249" s="9"/>
      <c r="K249" s="9"/>
      <c r="L249" s="9"/>
      <c r="M249" s="12"/>
      <c r="N249" s="12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35">
        <v>446.0</v>
      </c>
      <c r="AE249" s="35" t="s">
        <v>285</v>
      </c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112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</row>
    <row r="250" ht="15.0" customHeight="1">
      <c r="A250" s="9"/>
      <c r="B250" s="22" t="s">
        <v>871</v>
      </c>
      <c r="C250" s="24">
        <v>21.82</v>
      </c>
      <c r="D250" s="9"/>
      <c r="E250" s="10"/>
      <c r="F250" s="16"/>
      <c r="G250" s="16"/>
      <c r="H250" s="9"/>
      <c r="I250" s="9"/>
      <c r="J250" s="9"/>
      <c r="K250" s="9"/>
      <c r="L250" s="9"/>
      <c r="M250" s="12"/>
      <c r="N250" s="12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35">
        <v>447.0</v>
      </c>
      <c r="AE250" s="35" t="s">
        <v>292</v>
      </c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112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</row>
    <row r="251" ht="15.0" customHeight="1">
      <c r="A251" s="9"/>
      <c r="B251" s="22" t="s">
        <v>872</v>
      </c>
      <c r="C251" s="24">
        <v>21.21</v>
      </c>
      <c r="D251" s="9"/>
      <c r="E251" s="10"/>
      <c r="F251" s="16"/>
      <c r="G251" s="16"/>
      <c r="H251" s="9"/>
      <c r="I251" s="9"/>
      <c r="J251" s="9"/>
      <c r="K251" s="9"/>
      <c r="L251" s="9"/>
      <c r="M251" s="12"/>
      <c r="N251" s="12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35">
        <v>449.0</v>
      </c>
      <c r="AE251" s="35" t="s">
        <v>302</v>
      </c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112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</row>
    <row r="252" ht="15.0" customHeight="1">
      <c r="A252" s="9"/>
      <c r="B252" s="22" t="s">
        <v>873</v>
      </c>
      <c r="C252" s="24">
        <v>28.851</v>
      </c>
      <c r="D252" s="9"/>
      <c r="E252" s="10"/>
      <c r="F252" s="16"/>
      <c r="G252" s="16"/>
      <c r="H252" s="9"/>
      <c r="I252" s="9"/>
      <c r="J252" s="9"/>
      <c r="K252" s="9"/>
      <c r="L252" s="9"/>
      <c r="M252" s="12"/>
      <c r="N252" s="12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35">
        <v>450.0</v>
      </c>
      <c r="AE252" s="35" t="s">
        <v>310</v>
      </c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112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</row>
    <row r="253" ht="15.0" customHeight="1">
      <c r="A253" s="9"/>
      <c r="B253" s="22" t="s">
        <v>874</v>
      </c>
      <c r="C253" s="24">
        <v>28.948</v>
      </c>
      <c r="D253" s="9"/>
      <c r="E253" s="10"/>
      <c r="F253" s="16"/>
      <c r="G253" s="16"/>
      <c r="H253" s="9"/>
      <c r="I253" s="9"/>
      <c r="J253" s="9"/>
      <c r="K253" s="9"/>
      <c r="L253" s="9"/>
      <c r="M253" s="12"/>
      <c r="N253" s="12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35">
        <v>451.0</v>
      </c>
      <c r="AE253" s="35" t="s">
        <v>318</v>
      </c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112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</row>
    <row r="254" ht="15.0" customHeight="1">
      <c r="A254" s="9"/>
      <c r="B254" s="22" t="s">
        <v>875</v>
      </c>
      <c r="C254" s="24">
        <v>28.508</v>
      </c>
      <c r="D254" s="9"/>
      <c r="E254" s="10"/>
      <c r="F254" s="16"/>
      <c r="G254" s="16"/>
      <c r="H254" s="9"/>
      <c r="I254" s="9"/>
      <c r="J254" s="9"/>
      <c r="K254" s="9"/>
      <c r="L254" s="9"/>
      <c r="M254" s="12"/>
      <c r="N254" s="12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35">
        <v>452.0</v>
      </c>
      <c r="AE254" s="35" t="s">
        <v>327</v>
      </c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112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</row>
    <row r="255" ht="15.0" customHeight="1">
      <c r="A255" s="9"/>
      <c r="B255" s="22" t="s">
        <v>876</v>
      </c>
      <c r="C255" s="24">
        <v>28.887</v>
      </c>
      <c r="D255" s="9"/>
      <c r="E255" s="10"/>
      <c r="F255" s="16"/>
      <c r="G255" s="16"/>
      <c r="H255" s="9"/>
      <c r="I255" s="9"/>
      <c r="J255" s="9"/>
      <c r="K255" s="9"/>
      <c r="L255" s="9"/>
      <c r="M255" s="12"/>
      <c r="N255" s="12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35">
        <v>453.0</v>
      </c>
      <c r="AE255" s="35" t="s">
        <v>338</v>
      </c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112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</row>
    <row r="256" ht="15.0" customHeight="1">
      <c r="A256" s="9"/>
      <c r="B256" s="22" t="s">
        <v>877</v>
      </c>
      <c r="C256" s="24">
        <v>28.851</v>
      </c>
      <c r="D256" s="9"/>
      <c r="E256" s="10"/>
      <c r="F256" s="16"/>
      <c r="G256" s="16"/>
      <c r="H256" s="9"/>
      <c r="I256" s="9"/>
      <c r="J256" s="9"/>
      <c r="K256" s="9"/>
      <c r="L256" s="9"/>
      <c r="M256" s="12"/>
      <c r="N256" s="12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35">
        <v>454.0</v>
      </c>
      <c r="AE256" s="35" t="s">
        <v>348</v>
      </c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112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</row>
    <row r="257" ht="15.0" customHeight="1">
      <c r="A257" s="9"/>
      <c r="B257" s="22" t="s">
        <v>878</v>
      </c>
      <c r="C257" s="24">
        <v>31.9</v>
      </c>
      <c r="D257" s="9"/>
      <c r="E257" s="10"/>
      <c r="F257" s="16"/>
      <c r="G257" s="16"/>
      <c r="H257" s="9"/>
      <c r="I257" s="9"/>
      <c r="J257" s="9"/>
      <c r="K257" s="9"/>
      <c r="L257" s="9"/>
      <c r="M257" s="12"/>
      <c r="N257" s="12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35">
        <v>455.0</v>
      </c>
      <c r="AE257" s="35" t="s">
        <v>358</v>
      </c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112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</row>
    <row r="258" ht="15.0" customHeight="1">
      <c r="A258" s="9"/>
      <c r="B258" s="22" t="s">
        <v>879</v>
      </c>
      <c r="C258" s="24">
        <v>32.02</v>
      </c>
      <c r="D258" s="9"/>
      <c r="E258" s="10"/>
      <c r="F258" s="16"/>
      <c r="G258" s="16"/>
      <c r="H258" s="9"/>
      <c r="I258" s="9"/>
      <c r="J258" s="9"/>
      <c r="K258" s="9"/>
      <c r="L258" s="9"/>
      <c r="M258" s="12"/>
      <c r="N258" s="12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16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112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</row>
    <row r="259" ht="15.0" customHeight="1">
      <c r="A259" s="9"/>
      <c r="B259" s="22" t="s">
        <v>880</v>
      </c>
      <c r="C259" s="24">
        <v>32.0</v>
      </c>
      <c r="D259" s="16"/>
      <c r="E259" s="10"/>
      <c r="F259" s="16"/>
      <c r="G259" s="16"/>
      <c r="H259" s="9"/>
      <c r="I259" s="9"/>
      <c r="J259" s="9"/>
      <c r="K259" s="9"/>
      <c r="L259" s="9"/>
      <c r="M259" s="12"/>
      <c r="N259" s="12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16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112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</row>
    <row r="260" ht="15.0" customHeight="1">
      <c r="A260" s="9"/>
      <c r="B260" s="22" t="s">
        <v>881</v>
      </c>
      <c r="C260" s="24">
        <v>31.38</v>
      </c>
      <c r="D260" s="16"/>
      <c r="E260" s="10"/>
      <c r="F260" s="16"/>
      <c r="G260" s="16"/>
      <c r="H260" s="9"/>
      <c r="I260" s="9"/>
      <c r="J260" s="9"/>
      <c r="K260" s="9"/>
      <c r="L260" s="9"/>
      <c r="M260" s="12"/>
      <c r="N260" s="12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16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112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</row>
    <row r="261" ht="15.0" customHeight="1">
      <c r="A261" s="9"/>
      <c r="B261" s="22" t="s">
        <v>882</v>
      </c>
      <c r="C261" s="24">
        <v>42.08</v>
      </c>
      <c r="D261" s="16"/>
      <c r="E261" s="10"/>
      <c r="F261" s="16"/>
      <c r="G261" s="16"/>
      <c r="H261" s="9"/>
      <c r="I261" s="9"/>
      <c r="J261" s="9"/>
      <c r="K261" s="9"/>
      <c r="L261" s="9"/>
      <c r="M261" s="12"/>
      <c r="N261" s="12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16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112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</row>
    <row r="262" ht="15.0" customHeight="1">
      <c r="A262" s="9"/>
      <c r="B262" s="22" t="s">
        <v>883</v>
      </c>
      <c r="C262" s="24">
        <v>42.2</v>
      </c>
      <c r="D262" s="16"/>
      <c r="E262" s="10"/>
      <c r="F262" s="16"/>
      <c r="G262" s="16"/>
      <c r="H262" s="9"/>
      <c r="I262" s="9"/>
      <c r="J262" s="9"/>
      <c r="K262" s="9"/>
      <c r="L262" s="9"/>
      <c r="M262" s="12"/>
      <c r="N262" s="12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16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112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</row>
    <row r="263" ht="15.0" customHeight="1">
      <c r="A263" s="9"/>
      <c r="B263" s="22" t="s">
        <v>884</v>
      </c>
      <c r="C263" s="24">
        <v>41.57</v>
      </c>
      <c r="D263" s="90"/>
      <c r="E263" s="10"/>
      <c r="F263" s="16"/>
      <c r="G263" s="16"/>
      <c r="H263" s="9"/>
      <c r="I263" s="9"/>
      <c r="J263" s="9"/>
      <c r="K263" s="9"/>
      <c r="L263" s="9"/>
      <c r="M263" s="12"/>
      <c r="N263" s="12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16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112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</row>
    <row r="264" ht="15.0" customHeight="1">
      <c r="A264" s="9"/>
      <c r="B264" s="22" t="s">
        <v>885</v>
      </c>
      <c r="C264" s="24">
        <v>42.18</v>
      </c>
      <c r="D264" s="90"/>
      <c r="E264" s="10"/>
      <c r="F264" s="16"/>
      <c r="G264" s="16"/>
      <c r="H264" s="9"/>
      <c r="I264" s="9"/>
      <c r="J264" s="9"/>
      <c r="K264" s="9"/>
      <c r="L264" s="9"/>
      <c r="M264" s="12"/>
      <c r="N264" s="12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16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112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</row>
    <row r="265" ht="15.0" customHeight="1">
      <c r="A265" s="9"/>
      <c r="B265" s="22" t="s">
        <v>886</v>
      </c>
      <c r="C265" s="24">
        <v>41.57</v>
      </c>
      <c r="D265" s="90"/>
      <c r="E265" s="10"/>
      <c r="F265" s="16"/>
      <c r="G265" s="16"/>
      <c r="H265" s="9"/>
      <c r="I265" s="9"/>
      <c r="J265" s="9"/>
      <c r="K265" s="9"/>
      <c r="L265" s="9"/>
      <c r="M265" s="12"/>
      <c r="N265" s="12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16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112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</row>
    <row r="266" ht="15.0" customHeight="1">
      <c r="A266" s="9"/>
      <c r="B266" s="22" t="s">
        <v>887</v>
      </c>
      <c r="C266" s="24">
        <v>45.0</v>
      </c>
      <c r="D266" s="90"/>
      <c r="E266" s="10"/>
      <c r="F266" s="16"/>
      <c r="G266" s="16"/>
      <c r="H266" s="9"/>
      <c r="I266" s="9"/>
      <c r="J266" s="9"/>
      <c r="K266" s="9"/>
      <c r="L266" s="9"/>
      <c r="M266" s="12"/>
      <c r="N266" s="12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16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112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</row>
    <row r="267" ht="15.0" customHeight="1">
      <c r="A267" s="9"/>
      <c r="B267" s="22" t="s">
        <v>888</v>
      </c>
      <c r="C267" s="24">
        <v>44.88</v>
      </c>
      <c r="D267" s="90"/>
      <c r="E267" s="10"/>
      <c r="F267" s="16"/>
      <c r="G267" s="16"/>
      <c r="H267" s="9"/>
      <c r="I267" s="9"/>
      <c r="J267" s="9"/>
      <c r="K267" s="9"/>
      <c r="L267" s="9"/>
      <c r="M267" s="12"/>
      <c r="N267" s="12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16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112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</row>
    <row r="268" ht="15.0" customHeight="1">
      <c r="A268" s="9"/>
      <c r="B268" s="22" t="s">
        <v>889</v>
      </c>
      <c r="C268" s="24">
        <v>44.37</v>
      </c>
      <c r="D268" s="90"/>
      <c r="E268" s="10"/>
      <c r="F268" s="16"/>
      <c r="G268" s="16"/>
      <c r="H268" s="9"/>
      <c r="I268" s="9"/>
      <c r="J268" s="9"/>
      <c r="K268" s="9"/>
      <c r="L268" s="9"/>
      <c r="M268" s="12"/>
      <c r="N268" s="12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16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112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</row>
    <row r="269" ht="15.0" customHeight="1">
      <c r="A269" s="9"/>
      <c r="B269" s="22" t="s">
        <v>890</v>
      </c>
      <c r="C269" s="24">
        <v>44.98</v>
      </c>
      <c r="D269" s="16"/>
      <c r="E269" s="10"/>
      <c r="F269" s="16"/>
      <c r="G269" s="16"/>
      <c r="H269" s="9"/>
      <c r="I269" s="9"/>
      <c r="J269" s="9"/>
      <c r="K269" s="9"/>
      <c r="L269" s="9"/>
      <c r="M269" s="12"/>
      <c r="N269" s="12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16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112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</row>
    <row r="270" ht="15.0" customHeight="1">
      <c r="A270" s="9"/>
      <c r="B270" s="22" t="s">
        <v>891</v>
      </c>
      <c r="C270" s="24">
        <v>44.36</v>
      </c>
      <c r="D270" s="16"/>
      <c r="E270" s="10"/>
      <c r="F270" s="16"/>
      <c r="G270" s="16"/>
      <c r="H270" s="9"/>
      <c r="I270" s="9"/>
      <c r="J270" s="9"/>
      <c r="K270" s="9"/>
      <c r="L270" s="9"/>
      <c r="M270" s="12"/>
      <c r="N270" s="12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16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112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</row>
    <row r="271" ht="15.0" customHeight="1">
      <c r="A271" s="9"/>
      <c r="B271" s="22" t="s">
        <v>103</v>
      </c>
      <c r="C271" s="24">
        <v>47.37</v>
      </c>
      <c r="D271" s="16"/>
      <c r="E271" s="10"/>
      <c r="F271" s="16"/>
      <c r="G271" s="16"/>
      <c r="H271" s="9"/>
      <c r="I271" s="9"/>
      <c r="J271" s="9"/>
      <c r="K271" s="9"/>
      <c r="L271" s="9"/>
      <c r="M271" s="12"/>
      <c r="N271" s="12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16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112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</row>
    <row r="272" ht="15.0" customHeight="1">
      <c r="A272" s="9"/>
      <c r="B272" s="22" t="s">
        <v>892</v>
      </c>
      <c r="C272" s="24">
        <v>47.21</v>
      </c>
      <c r="D272" s="16"/>
      <c r="E272" s="10"/>
      <c r="F272" s="16"/>
      <c r="G272" s="16"/>
      <c r="H272" s="9"/>
      <c r="I272" s="9"/>
      <c r="J272" s="9"/>
      <c r="K272" s="9"/>
      <c r="L272" s="9"/>
      <c r="M272" s="12"/>
      <c r="N272" s="12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16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112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</row>
    <row r="273" ht="15.0" customHeight="1">
      <c r="A273" s="9"/>
      <c r="B273" s="22" t="s">
        <v>893</v>
      </c>
      <c r="C273" s="24">
        <v>46.66</v>
      </c>
      <c r="D273" s="16"/>
      <c r="E273" s="10"/>
      <c r="F273" s="16"/>
      <c r="G273" s="16"/>
      <c r="H273" s="9"/>
      <c r="I273" s="9"/>
      <c r="J273" s="9"/>
      <c r="K273" s="9"/>
      <c r="L273" s="9"/>
      <c r="M273" s="12"/>
      <c r="N273" s="12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16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112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</row>
    <row r="274" ht="15.0" customHeight="1">
      <c r="A274" s="9"/>
      <c r="B274" s="22" t="s">
        <v>894</v>
      </c>
      <c r="C274" s="24">
        <v>47.27</v>
      </c>
      <c r="D274" s="16"/>
      <c r="E274" s="10"/>
      <c r="F274" s="16"/>
      <c r="G274" s="16"/>
      <c r="H274" s="9"/>
      <c r="I274" s="9"/>
      <c r="J274" s="9"/>
      <c r="K274" s="9"/>
      <c r="L274" s="9"/>
      <c r="M274" s="12"/>
      <c r="N274" s="12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16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112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</row>
    <row r="275" ht="15.0" customHeight="1">
      <c r="A275" s="9"/>
      <c r="B275" s="22" t="s">
        <v>895</v>
      </c>
      <c r="C275" s="24">
        <v>46.66</v>
      </c>
      <c r="D275" s="16"/>
      <c r="E275" s="10"/>
      <c r="F275" s="16"/>
      <c r="G275" s="16"/>
      <c r="H275" s="9"/>
      <c r="I275" s="9"/>
      <c r="J275" s="9"/>
      <c r="K275" s="9"/>
      <c r="L275" s="9"/>
      <c r="M275" s="12"/>
      <c r="N275" s="12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16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112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</row>
    <row r="276" ht="15.0" customHeight="1">
      <c r="A276" s="9"/>
      <c r="B276" s="22" t="s">
        <v>896</v>
      </c>
      <c r="C276" s="24">
        <v>65.862</v>
      </c>
      <c r="D276" s="16"/>
      <c r="E276" s="10"/>
      <c r="F276" s="16"/>
      <c r="G276" s="16"/>
      <c r="H276" s="9"/>
      <c r="I276" s="9"/>
      <c r="J276" s="9"/>
      <c r="K276" s="9"/>
      <c r="L276" s="9"/>
      <c r="M276" s="12"/>
      <c r="N276" s="12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16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112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</row>
    <row r="277" ht="15.0" customHeight="1">
      <c r="A277" s="9"/>
      <c r="B277" s="22" t="s">
        <v>897</v>
      </c>
      <c r="C277" s="24">
        <v>65.862</v>
      </c>
      <c r="D277" s="16"/>
      <c r="E277" s="10"/>
      <c r="F277" s="16"/>
      <c r="G277" s="16"/>
      <c r="H277" s="9"/>
      <c r="I277" s="9"/>
      <c r="J277" s="9"/>
      <c r="K277" s="9"/>
      <c r="L277" s="9"/>
      <c r="M277" s="12"/>
      <c r="N277" s="12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16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112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</row>
    <row r="278" ht="15.0" customHeight="1">
      <c r="A278" s="9"/>
      <c r="B278" s="22" t="s">
        <v>898</v>
      </c>
      <c r="C278" s="24">
        <v>65.862</v>
      </c>
      <c r="D278" s="16"/>
      <c r="E278" s="10"/>
      <c r="F278" s="16"/>
      <c r="G278" s="16"/>
      <c r="H278" s="9"/>
      <c r="I278" s="9"/>
      <c r="J278" s="9"/>
      <c r="K278" s="9"/>
      <c r="L278" s="9"/>
      <c r="M278" s="12"/>
      <c r="N278" s="12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16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112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</row>
    <row r="279" ht="15.0" customHeight="1">
      <c r="A279" s="9"/>
      <c r="B279" s="22" t="s">
        <v>899</v>
      </c>
      <c r="C279" s="24">
        <v>65.862</v>
      </c>
      <c r="D279" s="16"/>
      <c r="E279" s="10"/>
      <c r="F279" s="16"/>
      <c r="G279" s="16"/>
      <c r="H279" s="9"/>
      <c r="I279" s="9"/>
      <c r="J279" s="9"/>
      <c r="K279" s="9"/>
      <c r="L279" s="9"/>
      <c r="M279" s="12"/>
      <c r="N279" s="12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16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112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</row>
    <row r="280" ht="15.0" customHeight="1">
      <c r="A280" s="9"/>
      <c r="B280" s="22" t="s">
        <v>900</v>
      </c>
      <c r="C280" s="24">
        <v>65.862</v>
      </c>
      <c r="D280" s="16"/>
      <c r="E280" s="10"/>
      <c r="F280" s="16"/>
      <c r="G280" s="16"/>
      <c r="H280" s="9"/>
      <c r="I280" s="9"/>
      <c r="J280" s="9"/>
      <c r="K280" s="9"/>
      <c r="L280" s="9"/>
      <c r="M280" s="12"/>
      <c r="N280" s="12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16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112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</row>
    <row r="281" ht="15.0" customHeight="1">
      <c r="A281" s="9"/>
      <c r="B281" s="22" t="s">
        <v>144</v>
      </c>
      <c r="C281" s="24" t="s">
        <v>144</v>
      </c>
      <c r="D281" s="9"/>
      <c r="E281" s="10"/>
      <c r="F281" s="16"/>
      <c r="G281" s="16"/>
      <c r="H281" s="9"/>
      <c r="I281" s="9"/>
      <c r="J281" s="9"/>
      <c r="K281" s="9"/>
      <c r="L281" s="9"/>
      <c r="M281" s="12"/>
      <c r="N281" s="12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16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112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</row>
    <row r="282" ht="15.0" customHeight="1">
      <c r="A282" s="9"/>
      <c r="B282" s="22" t="s">
        <v>901</v>
      </c>
      <c r="C282" s="24">
        <v>32.652</v>
      </c>
      <c r="D282" s="9"/>
      <c r="E282" s="10"/>
      <c r="F282" s="16"/>
      <c r="G282" s="16"/>
      <c r="H282" s="9"/>
      <c r="I282" s="9"/>
      <c r="J282" s="9"/>
      <c r="K282" s="9"/>
      <c r="L282" s="9"/>
      <c r="M282" s="12"/>
      <c r="N282" s="12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16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112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</row>
    <row r="283" ht="15.0" customHeight="1">
      <c r="A283" s="9"/>
      <c r="B283" s="22" t="s">
        <v>902</v>
      </c>
      <c r="C283" s="24">
        <v>36.28</v>
      </c>
      <c r="D283" s="9"/>
      <c r="E283" s="10"/>
      <c r="F283" s="16"/>
      <c r="G283" s="16"/>
      <c r="H283" s="9"/>
      <c r="I283" s="9"/>
      <c r="J283" s="9"/>
      <c r="K283" s="9"/>
      <c r="L283" s="9"/>
      <c r="M283" s="12"/>
      <c r="N283" s="12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16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112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</row>
    <row r="284" ht="15.0" customHeight="1">
      <c r="A284" s="9"/>
      <c r="B284" s="22" t="s">
        <v>903</v>
      </c>
      <c r="C284" s="24">
        <v>39.908</v>
      </c>
      <c r="D284" s="9"/>
      <c r="E284" s="10"/>
      <c r="F284" s="16"/>
      <c r="G284" s="16"/>
      <c r="H284" s="9"/>
      <c r="I284" s="9"/>
      <c r="J284" s="9"/>
      <c r="K284" s="9"/>
      <c r="L284" s="9"/>
      <c r="M284" s="12"/>
      <c r="N284" s="12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16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112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</row>
    <row r="285" ht="15.0" customHeight="1">
      <c r="A285" s="9"/>
      <c r="B285" s="22" t="s">
        <v>904</v>
      </c>
      <c r="C285" s="24">
        <v>43.536</v>
      </c>
      <c r="D285" s="9"/>
      <c r="E285" s="10"/>
      <c r="F285" s="16"/>
      <c r="G285" s="16"/>
      <c r="H285" s="9"/>
      <c r="I285" s="9"/>
      <c r="J285" s="9"/>
      <c r="K285" s="9"/>
      <c r="L285" s="9"/>
      <c r="M285" s="12"/>
      <c r="N285" s="12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16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112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</row>
    <row r="286" ht="15.0" customHeight="1">
      <c r="A286" s="9"/>
      <c r="B286" s="22" t="s">
        <v>905</v>
      </c>
      <c r="C286" s="24">
        <v>47.164</v>
      </c>
      <c r="D286" s="9"/>
      <c r="E286" s="10"/>
      <c r="F286" s="16"/>
      <c r="G286" s="16"/>
      <c r="H286" s="9"/>
      <c r="I286" s="9"/>
      <c r="J286" s="9"/>
      <c r="K286" s="9"/>
      <c r="L286" s="9"/>
      <c r="M286" s="12"/>
      <c r="N286" s="12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16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112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</row>
    <row r="287" ht="15.0" customHeight="1">
      <c r="A287" s="9"/>
      <c r="B287" s="22" t="s">
        <v>906</v>
      </c>
      <c r="C287" s="24">
        <v>50.792</v>
      </c>
      <c r="D287" s="9"/>
      <c r="E287" s="10"/>
      <c r="F287" s="16"/>
      <c r="G287" s="16"/>
      <c r="H287" s="9"/>
      <c r="I287" s="9"/>
      <c r="J287" s="9"/>
      <c r="K287" s="9"/>
      <c r="L287" s="9"/>
      <c r="M287" s="12"/>
      <c r="N287" s="12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16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112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</row>
    <row r="288" ht="15.0" customHeight="1">
      <c r="A288" s="9"/>
      <c r="B288" s="22" t="s">
        <v>907</v>
      </c>
      <c r="C288" s="24">
        <v>33.908</v>
      </c>
      <c r="D288" s="9"/>
      <c r="E288" s="10"/>
      <c r="F288" s="16"/>
      <c r="G288" s="16"/>
      <c r="H288" s="9"/>
      <c r="I288" s="9"/>
      <c r="J288" s="9"/>
      <c r="K288" s="9"/>
      <c r="L288" s="9"/>
      <c r="M288" s="12"/>
      <c r="N288" s="12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16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112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</row>
    <row r="289" ht="15.0" customHeight="1">
      <c r="A289" s="9"/>
      <c r="B289" s="22" t="s">
        <v>908</v>
      </c>
      <c r="C289" s="24">
        <v>37.675</v>
      </c>
      <c r="D289" s="9"/>
      <c r="E289" s="10"/>
      <c r="F289" s="16"/>
      <c r="G289" s="16"/>
      <c r="H289" s="9"/>
      <c r="I289" s="9"/>
      <c r="J289" s="9"/>
      <c r="K289" s="9"/>
      <c r="L289" s="9"/>
      <c r="M289" s="12"/>
      <c r="N289" s="12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16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112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</row>
    <row r="290" ht="15.0" customHeight="1">
      <c r="A290" s="9"/>
      <c r="B290" s="22" t="s">
        <v>909</v>
      </c>
      <c r="C290" s="24">
        <v>41.443</v>
      </c>
      <c r="D290" s="9"/>
      <c r="E290" s="10"/>
      <c r="F290" s="16"/>
      <c r="G290" s="16"/>
      <c r="H290" s="9"/>
      <c r="I290" s="9"/>
      <c r="J290" s="9"/>
      <c r="K290" s="9"/>
      <c r="L290" s="9"/>
      <c r="M290" s="12"/>
      <c r="N290" s="12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16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112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</row>
    <row r="291" ht="15.0" customHeight="1">
      <c r="A291" s="9"/>
      <c r="B291" s="22" t="s">
        <v>910</v>
      </c>
      <c r="C291" s="24">
        <v>45.21</v>
      </c>
      <c r="D291" s="9"/>
      <c r="E291" s="10"/>
      <c r="F291" s="16"/>
      <c r="G291" s="16"/>
      <c r="H291" s="9"/>
      <c r="I291" s="9"/>
      <c r="J291" s="9"/>
      <c r="K291" s="9"/>
      <c r="L291" s="9"/>
      <c r="M291" s="12"/>
      <c r="N291" s="12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16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112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</row>
    <row r="292" ht="15.0" customHeight="1">
      <c r="A292" s="9"/>
      <c r="B292" s="22" t="s">
        <v>911</v>
      </c>
      <c r="C292" s="24">
        <v>48.978</v>
      </c>
      <c r="D292" s="9"/>
      <c r="E292" s="10"/>
      <c r="F292" s="16"/>
      <c r="G292" s="16"/>
      <c r="H292" s="9"/>
      <c r="I292" s="9"/>
      <c r="J292" s="9"/>
      <c r="K292" s="9"/>
      <c r="L292" s="9"/>
      <c r="M292" s="12"/>
      <c r="N292" s="12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16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112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</row>
    <row r="293" ht="15.0" customHeight="1">
      <c r="A293" s="9"/>
      <c r="B293" s="22" t="s">
        <v>912</v>
      </c>
      <c r="C293" s="24">
        <v>52.745</v>
      </c>
      <c r="D293" s="9"/>
      <c r="E293" s="10"/>
      <c r="F293" s="16"/>
      <c r="G293" s="16"/>
      <c r="H293" s="9"/>
      <c r="I293" s="9"/>
      <c r="J293" s="9"/>
      <c r="K293" s="9"/>
      <c r="L293" s="9"/>
      <c r="M293" s="12"/>
      <c r="N293" s="12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16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112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</row>
    <row r="294" ht="15.0" customHeight="1">
      <c r="A294" s="9"/>
      <c r="B294" s="22" t="s">
        <v>913</v>
      </c>
      <c r="C294" s="24">
        <v>56.513</v>
      </c>
      <c r="D294" s="9"/>
      <c r="E294" s="10"/>
      <c r="F294" s="16"/>
      <c r="G294" s="16"/>
      <c r="H294" s="9"/>
      <c r="I294" s="9"/>
      <c r="J294" s="9"/>
      <c r="K294" s="9"/>
      <c r="L294" s="9"/>
      <c r="M294" s="12"/>
      <c r="N294" s="12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16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112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</row>
    <row r="295" ht="15.0" customHeight="1">
      <c r="A295" s="9"/>
      <c r="B295" s="22" t="s">
        <v>914</v>
      </c>
      <c r="C295" s="24">
        <v>39.071</v>
      </c>
      <c r="D295" s="9"/>
      <c r="E295" s="10"/>
      <c r="F295" s="16"/>
      <c r="G295" s="16"/>
      <c r="H295" s="9"/>
      <c r="I295" s="9"/>
      <c r="J295" s="9"/>
      <c r="K295" s="9"/>
      <c r="L295" s="9"/>
      <c r="M295" s="12"/>
      <c r="N295" s="12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16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112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</row>
    <row r="296" ht="15.0" customHeight="1">
      <c r="A296" s="9"/>
      <c r="B296" s="22" t="s">
        <v>915</v>
      </c>
      <c r="C296" s="24">
        <v>42.978</v>
      </c>
      <c r="D296" s="9"/>
      <c r="E296" s="10"/>
      <c r="F296" s="16"/>
      <c r="G296" s="16"/>
      <c r="H296" s="9"/>
      <c r="I296" s="9"/>
      <c r="J296" s="9"/>
      <c r="K296" s="9"/>
      <c r="L296" s="9"/>
      <c r="M296" s="12"/>
      <c r="N296" s="12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16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112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</row>
    <row r="297" ht="15.0" customHeight="1">
      <c r="A297" s="9"/>
      <c r="B297" s="22" t="s">
        <v>916</v>
      </c>
      <c r="C297" s="24">
        <v>46.885</v>
      </c>
      <c r="D297" s="9"/>
      <c r="E297" s="10"/>
      <c r="F297" s="16"/>
      <c r="G297" s="16"/>
      <c r="H297" s="9"/>
      <c r="I297" s="9"/>
      <c r="J297" s="9"/>
      <c r="K297" s="9"/>
      <c r="L297" s="9"/>
      <c r="M297" s="12"/>
      <c r="N297" s="12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16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112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</row>
    <row r="298" ht="15.0" customHeight="1">
      <c r="A298" s="9"/>
      <c r="B298" s="22" t="s">
        <v>917</v>
      </c>
      <c r="C298" s="24">
        <v>50.792</v>
      </c>
      <c r="D298" s="9"/>
      <c r="E298" s="10"/>
      <c r="F298" s="16"/>
      <c r="G298" s="16"/>
      <c r="H298" s="9"/>
      <c r="I298" s="9"/>
      <c r="J298" s="9"/>
      <c r="K298" s="9"/>
      <c r="L298" s="9"/>
      <c r="M298" s="12"/>
      <c r="N298" s="12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16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112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</row>
    <row r="299" ht="15.0" customHeight="1">
      <c r="A299" s="9"/>
      <c r="B299" s="22" t="s">
        <v>918</v>
      </c>
      <c r="C299" s="24">
        <v>54.699</v>
      </c>
      <c r="D299" s="9"/>
      <c r="E299" s="10"/>
      <c r="F299" s="16"/>
      <c r="G299" s="16"/>
      <c r="H299" s="9"/>
      <c r="I299" s="9"/>
      <c r="J299" s="9"/>
      <c r="K299" s="9"/>
      <c r="L299" s="9"/>
      <c r="M299" s="12"/>
      <c r="N299" s="12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16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112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</row>
    <row r="300" ht="15.0" customHeight="1">
      <c r="A300" s="9"/>
      <c r="B300" s="22" t="s">
        <v>919</v>
      </c>
      <c r="C300" s="24">
        <v>58.606</v>
      </c>
      <c r="D300" s="9"/>
      <c r="E300" s="10"/>
      <c r="F300" s="16"/>
      <c r="G300" s="16"/>
      <c r="H300" s="9"/>
      <c r="I300" s="9"/>
      <c r="J300" s="9"/>
      <c r="K300" s="9"/>
      <c r="L300" s="9"/>
      <c r="M300" s="12"/>
      <c r="N300" s="12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16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112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</row>
    <row r="301" ht="15.0" customHeight="1">
      <c r="A301" s="9"/>
      <c r="B301" s="22" t="s">
        <v>920</v>
      </c>
      <c r="C301" s="24">
        <v>62.513</v>
      </c>
      <c r="D301" s="9"/>
      <c r="E301" s="10"/>
      <c r="F301" s="16"/>
      <c r="G301" s="16"/>
      <c r="H301" s="9"/>
      <c r="I301" s="9"/>
      <c r="J301" s="9"/>
      <c r="K301" s="9"/>
      <c r="L301" s="9"/>
      <c r="M301" s="12"/>
      <c r="N301" s="12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16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112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</row>
    <row r="302" ht="15.0" customHeight="1">
      <c r="A302" s="9"/>
      <c r="B302" s="22" t="s">
        <v>921</v>
      </c>
      <c r="C302" s="24">
        <v>49.117</v>
      </c>
      <c r="D302" s="9"/>
      <c r="E302" s="10"/>
      <c r="F302" s="16"/>
      <c r="G302" s="16"/>
      <c r="H302" s="9"/>
      <c r="I302" s="9"/>
      <c r="J302" s="9"/>
      <c r="K302" s="9"/>
      <c r="L302" s="9"/>
      <c r="M302" s="12"/>
      <c r="N302" s="12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16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112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</row>
    <row r="303" ht="15.0" customHeight="1">
      <c r="A303" s="9"/>
      <c r="B303" s="22" t="s">
        <v>922</v>
      </c>
      <c r="C303" s="24">
        <v>53.582</v>
      </c>
      <c r="D303" s="9"/>
      <c r="E303" s="10"/>
      <c r="F303" s="16"/>
      <c r="G303" s="16"/>
      <c r="H303" s="9"/>
      <c r="I303" s="9"/>
      <c r="J303" s="9"/>
      <c r="K303" s="9"/>
      <c r="L303" s="9"/>
      <c r="M303" s="12"/>
      <c r="N303" s="12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16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112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</row>
    <row r="304" ht="15.0" customHeight="1">
      <c r="A304" s="9"/>
      <c r="B304" s="22" t="s">
        <v>923</v>
      </c>
      <c r="C304" s="24">
        <v>58.048</v>
      </c>
      <c r="D304" s="122"/>
      <c r="E304" s="10"/>
      <c r="F304" s="16"/>
      <c r="G304" s="16"/>
      <c r="H304" s="9"/>
      <c r="I304" s="9"/>
      <c r="J304" s="9"/>
      <c r="K304" s="9"/>
      <c r="L304" s="9"/>
      <c r="M304" s="12"/>
      <c r="N304" s="12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16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112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</row>
    <row r="305" ht="15.0" customHeight="1">
      <c r="A305" s="9"/>
      <c r="B305" s="22" t="s">
        <v>924</v>
      </c>
      <c r="C305" s="24">
        <v>62.51</v>
      </c>
      <c r="D305" s="122"/>
      <c r="E305" s="10"/>
      <c r="F305" s="16"/>
      <c r="G305" s="16"/>
      <c r="H305" s="9"/>
      <c r="I305" s="9"/>
      <c r="J305" s="9"/>
      <c r="K305" s="9"/>
      <c r="L305" s="9"/>
      <c r="M305" s="12"/>
      <c r="N305" s="12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16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112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</row>
    <row r="306" ht="15.0" customHeight="1">
      <c r="A306" s="9"/>
      <c r="B306" s="22" t="s">
        <v>925</v>
      </c>
      <c r="C306" s="24">
        <v>66.978</v>
      </c>
      <c r="D306" s="122"/>
      <c r="E306" s="10"/>
      <c r="F306" s="16"/>
      <c r="G306" s="16"/>
      <c r="H306" s="9"/>
      <c r="I306" s="9"/>
      <c r="J306" s="9"/>
      <c r="K306" s="9"/>
      <c r="L306" s="9"/>
      <c r="M306" s="12"/>
      <c r="N306" s="12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16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112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</row>
    <row r="307" ht="15.0" customHeight="1">
      <c r="A307" s="9"/>
      <c r="B307" s="22" t="s">
        <v>926</v>
      </c>
      <c r="C307" s="24">
        <v>71.443</v>
      </c>
      <c r="D307" s="122"/>
      <c r="E307" s="10"/>
      <c r="F307" s="16"/>
      <c r="G307" s="16"/>
      <c r="H307" s="9"/>
      <c r="I307" s="9"/>
      <c r="J307" s="9"/>
      <c r="K307" s="9"/>
      <c r="L307" s="9"/>
      <c r="M307" s="12"/>
      <c r="N307" s="12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16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112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</row>
    <row r="308" ht="15.0" customHeight="1">
      <c r="A308" s="9"/>
      <c r="B308" s="22" t="s">
        <v>927</v>
      </c>
      <c r="C308" s="24">
        <v>53.501</v>
      </c>
      <c r="D308" s="122"/>
      <c r="E308" s="10"/>
      <c r="F308" s="16"/>
      <c r="G308" s="16"/>
      <c r="H308" s="9"/>
      <c r="I308" s="9"/>
      <c r="J308" s="9"/>
      <c r="K308" s="9"/>
      <c r="L308" s="9"/>
      <c r="M308" s="12"/>
      <c r="N308" s="12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16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112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</row>
    <row r="309" ht="15.0" customHeight="1">
      <c r="A309" s="9"/>
      <c r="B309" s="22" t="s">
        <v>928</v>
      </c>
      <c r="C309" s="24">
        <v>35.716</v>
      </c>
      <c r="D309" s="122"/>
      <c r="E309" s="10"/>
      <c r="F309" s="16"/>
      <c r="G309" s="16"/>
      <c r="H309" s="9"/>
      <c r="I309" s="9"/>
      <c r="J309" s="9"/>
      <c r="K309" s="9"/>
      <c r="L309" s="9"/>
      <c r="M309" s="12"/>
      <c r="N309" s="12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16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112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</row>
    <row r="310" ht="15.0" customHeight="1">
      <c r="A310" s="9"/>
      <c r="B310" s="22" t="s">
        <v>929</v>
      </c>
      <c r="C310" s="24">
        <v>43.653</v>
      </c>
      <c r="D310" s="122"/>
      <c r="E310" s="10"/>
      <c r="F310" s="16"/>
      <c r="G310" s="16"/>
      <c r="H310" s="9"/>
      <c r="I310" s="9"/>
      <c r="J310" s="9"/>
      <c r="K310" s="9"/>
      <c r="L310" s="9"/>
      <c r="M310" s="12"/>
      <c r="N310" s="12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16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112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</row>
    <row r="311" ht="15.0" customHeight="1">
      <c r="A311" s="9"/>
      <c r="B311" s="22" t="s">
        <v>930</v>
      </c>
      <c r="C311" s="24">
        <v>47.621</v>
      </c>
      <c r="D311" s="122"/>
      <c r="E311" s="10"/>
      <c r="F311" s="16"/>
      <c r="G311" s="16"/>
      <c r="H311" s="9"/>
      <c r="I311" s="9"/>
      <c r="J311" s="9"/>
      <c r="K311" s="9"/>
      <c r="L311" s="9"/>
      <c r="M311" s="12"/>
      <c r="N311" s="12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16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112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</row>
    <row r="312" ht="15.0" customHeight="1">
      <c r="A312" s="9"/>
      <c r="B312" s="22" t="s">
        <v>931</v>
      </c>
      <c r="C312" s="24">
        <v>55.56</v>
      </c>
      <c r="D312" s="113"/>
      <c r="E312" s="10"/>
      <c r="F312" s="16"/>
      <c r="G312" s="16"/>
      <c r="H312" s="9"/>
      <c r="I312" s="9"/>
      <c r="J312" s="9"/>
      <c r="K312" s="9"/>
      <c r="L312" s="9"/>
      <c r="M312" s="12"/>
      <c r="N312" s="12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16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112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</row>
    <row r="313" ht="15.0" customHeight="1">
      <c r="A313" s="9"/>
      <c r="B313" s="22" t="s">
        <v>932</v>
      </c>
      <c r="C313" s="24">
        <v>59.53</v>
      </c>
      <c r="D313" s="9"/>
      <c r="E313" s="10"/>
      <c r="F313" s="16"/>
      <c r="G313" s="16"/>
      <c r="H313" s="9"/>
      <c r="I313" s="9"/>
      <c r="J313" s="9"/>
      <c r="K313" s="9"/>
      <c r="L313" s="9"/>
      <c r="M313" s="12"/>
      <c r="N313" s="12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16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112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</row>
    <row r="314" ht="15.0" customHeight="1">
      <c r="A314" s="9"/>
      <c r="B314" s="22" t="s">
        <v>933</v>
      </c>
      <c r="C314" s="24">
        <v>37.039</v>
      </c>
      <c r="D314" s="122"/>
      <c r="E314" s="10"/>
      <c r="F314" s="16"/>
      <c r="G314" s="16"/>
      <c r="H314" s="9"/>
      <c r="I314" s="9"/>
      <c r="J314" s="9"/>
      <c r="K314" s="9"/>
      <c r="L314" s="9"/>
      <c r="M314" s="12"/>
      <c r="N314" s="12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16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112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</row>
    <row r="315" ht="15.0" customHeight="1">
      <c r="A315" s="9"/>
      <c r="B315" s="22" t="s">
        <v>934</v>
      </c>
      <c r="C315" s="24">
        <v>41.154</v>
      </c>
      <c r="D315" s="122"/>
      <c r="E315" s="10"/>
      <c r="F315" s="16"/>
      <c r="G315" s="16"/>
      <c r="H315" s="9"/>
      <c r="I315" s="9"/>
      <c r="J315" s="9"/>
      <c r="K315" s="9"/>
      <c r="L315" s="9"/>
      <c r="M315" s="12"/>
      <c r="N315" s="12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16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112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</row>
    <row r="316" ht="15.0" customHeight="1">
      <c r="A316" s="9"/>
      <c r="B316" s="22" t="s">
        <v>935</v>
      </c>
      <c r="C316" s="24">
        <v>45.27</v>
      </c>
      <c r="D316" s="122"/>
      <c r="E316" s="10"/>
      <c r="F316" s="16"/>
      <c r="G316" s="16"/>
      <c r="H316" s="9"/>
      <c r="I316" s="9"/>
      <c r="J316" s="9"/>
      <c r="K316" s="9"/>
      <c r="L316" s="9"/>
      <c r="M316" s="12"/>
      <c r="N316" s="12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16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112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</row>
    <row r="317" ht="15.0" customHeight="1">
      <c r="A317" s="9"/>
      <c r="B317" s="22" t="s">
        <v>936</v>
      </c>
      <c r="C317" s="24">
        <v>49.385</v>
      </c>
      <c r="D317" s="122"/>
      <c r="E317" s="10"/>
      <c r="F317" s="16"/>
      <c r="G317" s="16"/>
      <c r="H317" s="9"/>
      <c r="I317" s="9"/>
      <c r="J317" s="9"/>
      <c r="K317" s="9"/>
      <c r="L317" s="9"/>
      <c r="M317" s="12"/>
      <c r="N317" s="12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16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112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</row>
    <row r="318" ht="15.0" customHeight="1">
      <c r="A318" s="9"/>
      <c r="B318" s="22" t="s">
        <v>937</v>
      </c>
      <c r="C318" s="24">
        <v>53.501</v>
      </c>
      <c r="D318" s="122"/>
      <c r="E318" s="10"/>
      <c r="F318" s="16"/>
      <c r="G318" s="16"/>
      <c r="H318" s="9"/>
      <c r="I318" s="9"/>
      <c r="J318" s="9"/>
      <c r="K318" s="9"/>
      <c r="L318" s="9"/>
      <c r="M318" s="12"/>
      <c r="N318" s="12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16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112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</row>
    <row r="319" ht="15.0" customHeight="1">
      <c r="A319" s="9"/>
      <c r="B319" s="22" t="s">
        <v>938</v>
      </c>
      <c r="C319" s="24">
        <v>57.616</v>
      </c>
      <c r="D319" s="122"/>
      <c r="E319" s="10"/>
      <c r="F319" s="16"/>
      <c r="G319" s="16"/>
      <c r="H319" s="9"/>
      <c r="I319" s="9"/>
      <c r="J319" s="9"/>
      <c r="K319" s="9"/>
      <c r="L319" s="9"/>
      <c r="M319" s="12"/>
      <c r="N319" s="12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16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112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</row>
    <row r="320" ht="15.0" customHeight="1">
      <c r="A320" s="9"/>
      <c r="B320" s="22" t="s">
        <v>939</v>
      </c>
      <c r="C320" s="24">
        <v>61.731</v>
      </c>
      <c r="D320" s="122"/>
      <c r="E320" s="10"/>
      <c r="F320" s="16"/>
      <c r="G320" s="16"/>
      <c r="H320" s="9"/>
      <c r="I320" s="9"/>
      <c r="J320" s="9"/>
      <c r="K320" s="9"/>
      <c r="L320" s="9"/>
      <c r="M320" s="12"/>
      <c r="N320" s="12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16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112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</row>
    <row r="321" ht="15.0" customHeight="1">
      <c r="A321" s="9"/>
      <c r="B321" s="22" t="s">
        <v>940</v>
      </c>
      <c r="C321" s="24">
        <v>65.847</v>
      </c>
      <c r="D321" s="122"/>
      <c r="E321" s="10"/>
      <c r="F321" s="16"/>
      <c r="G321" s="16"/>
      <c r="H321" s="9"/>
      <c r="I321" s="9"/>
      <c r="J321" s="9"/>
      <c r="K321" s="9"/>
      <c r="L321" s="9"/>
      <c r="M321" s="12"/>
      <c r="N321" s="12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16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112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</row>
    <row r="322" ht="15.0" customHeight="1">
      <c r="A322" s="9"/>
      <c r="B322" s="22" t="s">
        <v>941</v>
      </c>
      <c r="C322" s="24">
        <v>42.33</v>
      </c>
      <c r="D322" s="123"/>
      <c r="E322" s="10"/>
      <c r="F322" s="16"/>
      <c r="G322" s="16"/>
      <c r="H322" s="9"/>
      <c r="I322" s="9"/>
      <c r="J322" s="9"/>
      <c r="K322" s="9"/>
      <c r="L322" s="9"/>
      <c r="M322" s="12"/>
      <c r="N322" s="12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16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112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</row>
    <row r="323" ht="15.0" customHeight="1">
      <c r="A323" s="9"/>
      <c r="B323" s="22" t="s">
        <v>942</v>
      </c>
      <c r="C323" s="24">
        <v>47.033</v>
      </c>
      <c r="D323" s="123"/>
      <c r="E323" s="10"/>
      <c r="F323" s="16"/>
      <c r="G323" s="16"/>
      <c r="H323" s="9"/>
      <c r="I323" s="9"/>
      <c r="J323" s="9"/>
      <c r="K323" s="9"/>
      <c r="L323" s="9"/>
      <c r="M323" s="12"/>
      <c r="N323" s="12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16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112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</row>
    <row r="324" ht="15.0" customHeight="1">
      <c r="A324" s="9"/>
      <c r="B324" s="22" t="s">
        <v>943</v>
      </c>
      <c r="C324" s="24">
        <v>51.737</v>
      </c>
      <c r="D324" s="123"/>
      <c r="E324" s="10"/>
      <c r="F324" s="16"/>
      <c r="G324" s="16"/>
      <c r="H324" s="9"/>
      <c r="I324" s="9"/>
      <c r="J324" s="9"/>
      <c r="K324" s="9"/>
      <c r="L324" s="9"/>
      <c r="M324" s="12"/>
      <c r="N324" s="12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16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112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</row>
    <row r="325" ht="15.0" customHeight="1">
      <c r="A325" s="9"/>
      <c r="B325" s="22" t="s">
        <v>944</v>
      </c>
      <c r="C325" s="24">
        <v>56.44</v>
      </c>
      <c r="D325" s="123"/>
      <c r="E325" s="10"/>
      <c r="F325" s="16"/>
      <c r="G325" s="16"/>
      <c r="H325" s="9"/>
      <c r="I325" s="9"/>
      <c r="J325" s="9"/>
      <c r="K325" s="9"/>
      <c r="L325" s="9"/>
      <c r="M325" s="12"/>
      <c r="N325" s="12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16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112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</row>
    <row r="326" ht="15.0" customHeight="1">
      <c r="A326" s="9"/>
      <c r="B326" s="22" t="s">
        <v>945</v>
      </c>
      <c r="C326" s="24">
        <v>61.143</v>
      </c>
      <c r="D326" s="123"/>
      <c r="E326" s="10"/>
      <c r="F326" s="16"/>
      <c r="G326" s="16"/>
      <c r="H326" s="9"/>
      <c r="I326" s="9"/>
      <c r="J326" s="9"/>
      <c r="K326" s="9"/>
      <c r="L326" s="9"/>
      <c r="M326" s="12"/>
      <c r="N326" s="12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16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112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</row>
    <row r="327" ht="15.0" customHeight="1">
      <c r="A327" s="9"/>
      <c r="B327" s="22" t="s">
        <v>946</v>
      </c>
      <c r="C327" s="24">
        <v>65.85</v>
      </c>
      <c r="D327" s="124"/>
      <c r="E327" s="10"/>
      <c r="F327" s="16"/>
      <c r="G327" s="16"/>
      <c r="H327" s="9"/>
      <c r="I327" s="9"/>
      <c r="J327" s="9"/>
      <c r="K327" s="9"/>
      <c r="L327" s="9"/>
      <c r="M327" s="12"/>
      <c r="N327" s="12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16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112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</row>
    <row r="328" ht="15.0" customHeight="1">
      <c r="A328" s="9"/>
      <c r="B328" s="22" t="s">
        <v>947</v>
      </c>
      <c r="C328" s="24">
        <v>70.55</v>
      </c>
      <c r="D328" s="123"/>
      <c r="E328" s="10"/>
      <c r="F328" s="16"/>
      <c r="G328" s="16"/>
      <c r="H328" s="9"/>
      <c r="I328" s="9"/>
      <c r="J328" s="9"/>
      <c r="K328" s="9"/>
      <c r="L328" s="9"/>
      <c r="M328" s="12"/>
      <c r="N328" s="12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16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112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</row>
    <row r="329" ht="15.0" customHeight="1">
      <c r="A329" s="9"/>
      <c r="B329" s="22" t="s">
        <v>948</v>
      </c>
      <c r="C329" s="24">
        <v>75.254</v>
      </c>
      <c r="D329" s="123"/>
      <c r="E329" s="10"/>
      <c r="F329" s="16"/>
      <c r="G329" s="16"/>
      <c r="H329" s="9"/>
      <c r="I329" s="9"/>
      <c r="J329" s="9"/>
      <c r="K329" s="9"/>
      <c r="L329" s="9"/>
      <c r="M329" s="12"/>
      <c r="N329" s="12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16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112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</row>
    <row r="330" ht="15.0" customHeight="1">
      <c r="A330" s="9"/>
      <c r="B330" s="22" t="s">
        <v>154</v>
      </c>
      <c r="C330" s="24" t="s">
        <v>154</v>
      </c>
      <c r="D330" s="9" t="s">
        <v>118</v>
      </c>
      <c r="E330" s="10"/>
      <c r="F330" s="16"/>
      <c r="G330" s="16"/>
      <c r="H330" s="9"/>
      <c r="I330" s="9"/>
      <c r="J330" s="9"/>
      <c r="K330" s="9"/>
      <c r="L330" s="9"/>
      <c r="M330" s="12"/>
      <c r="N330" s="12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16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112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</row>
    <row r="331" ht="15.0" customHeight="1">
      <c r="A331" s="9"/>
      <c r="B331" s="22" t="s">
        <v>949</v>
      </c>
      <c r="C331" s="24">
        <v>33.591</v>
      </c>
      <c r="D331" s="9"/>
      <c r="E331" s="10"/>
      <c r="F331" s="16"/>
      <c r="G331" s="16"/>
      <c r="H331" s="9"/>
      <c r="I331" s="9"/>
      <c r="J331" s="9"/>
      <c r="K331" s="9"/>
      <c r="L331" s="9"/>
      <c r="M331" s="12"/>
      <c r="N331" s="12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16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112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</row>
    <row r="332" ht="15.0" customHeight="1">
      <c r="A332" s="9"/>
      <c r="B332" s="22" t="s">
        <v>950</v>
      </c>
      <c r="C332" s="24">
        <v>37.219</v>
      </c>
      <c r="D332" s="9"/>
      <c r="E332" s="10"/>
      <c r="F332" s="16"/>
      <c r="G332" s="16"/>
      <c r="H332" s="9"/>
      <c r="I332" s="9"/>
      <c r="J332" s="9"/>
      <c r="K332" s="9"/>
      <c r="L332" s="9"/>
      <c r="M332" s="12"/>
      <c r="N332" s="12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16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112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</row>
    <row r="333" ht="15.0" customHeight="1">
      <c r="A333" s="9"/>
      <c r="B333" s="22" t="s">
        <v>951</v>
      </c>
      <c r="C333" s="24">
        <v>40.847</v>
      </c>
      <c r="D333" s="9"/>
      <c r="E333" s="10"/>
      <c r="F333" s="16"/>
      <c r="G333" s="16"/>
      <c r="H333" s="9"/>
      <c r="I333" s="9"/>
      <c r="J333" s="9"/>
      <c r="K333" s="9"/>
      <c r="L333" s="9"/>
      <c r="M333" s="12"/>
      <c r="N333" s="12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16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112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</row>
    <row r="334" ht="15.0" customHeight="1">
      <c r="A334" s="9"/>
      <c r="B334" s="22" t="s">
        <v>952</v>
      </c>
      <c r="C334" s="24">
        <v>44.475</v>
      </c>
      <c r="D334" s="9"/>
      <c r="E334" s="10"/>
      <c r="F334" s="16"/>
      <c r="G334" s="16"/>
      <c r="H334" s="9"/>
      <c r="I334" s="9"/>
      <c r="J334" s="9"/>
      <c r="K334" s="9"/>
      <c r="L334" s="9"/>
      <c r="M334" s="12"/>
      <c r="N334" s="12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16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112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</row>
    <row r="335" ht="15.0" customHeight="1">
      <c r="A335" s="9"/>
      <c r="B335" s="22" t="s">
        <v>953</v>
      </c>
      <c r="C335" s="24">
        <v>48.103</v>
      </c>
      <c r="D335" s="9"/>
      <c r="E335" s="10"/>
      <c r="F335" s="16"/>
      <c r="G335" s="16"/>
      <c r="H335" s="9"/>
      <c r="I335" s="9"/>
      <c r="J335" s="9"/>
      <c r="K335" s="9"/>
      <c r="L335" s="9"/>
      <c r="M335" s="12"/>
      <c r="N335" s="12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16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112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</row>
    <row r="336" ht="15.0" customHeight="1">
      <c r="A336" s="9"/>
      <c r="B336" s="22" t="s">
        <v>954</v>
      </c>
      <c r="C336" s="24">
        <v>51.731</v>
      </c>
      <c r="D336" s="9"/>
      <c r="E336" s="10"/>
      <c r="F336" s="16"/>
      <c r="G336" s="16"/>
      <c r="H336" s="9"/>
      <c r="I336" s="9"/>
      <c r="J336" s="9"/>
      <c r="K336" s="9"/>
      <c r="L336" s="9"/>
      <c r="M336" s="12"/>
      <c r="N336" s="12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16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112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</row>
    <row r="337" ht="15.0" customHeight="1">
      <c r="A337" s="9"/>
      <c r="B337" s="22" t="s">
        <v>955</v>
      </c>
      <c r="C337" s="24">
        <v>34.847</v>
      </c>
      <c r="D337" s="9"/>
      <c r="E337" s="10"/>
      <c r="F337" s="16"/>
      <c r="G337" s="16"/>
      <c r="H337" s="9"/>
      <c r="I337" s="9"/>
      <c r="J337" s="9"/>
      <c r="K337" s="9"/>
      <c r="L337" s="9"/>
      <c r="M337" s="12"/>
      <c r="N337" s="12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16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112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</row>
    <row r="338" ht="15.0" customHeight="1">
      <c r="A338" s="9"/>
      <c r="B338" s="22" t="s">
        <v>956</v>
      </c>
      <c r="C338" s="24">
        <v>38.614</v>
      </c>
      <c r="D338" s="9"/>
      <c r="E338" s="10"/>
      <c r="F338" s="16"/>
      <c r="G338" s="16"/>
      <c r="H338" s="9"/>
      <c r="I338" s="9"/>
      <c r="J338" s="9"/>
      <c r="K338" s="9"/>
      <c r="L338" s="9"/>
      <c r="M338" s="12"/>
      <c r="N338" s="12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16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112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</row>
    <row r="339" ht="15.0" customHeight="1">
      <c r="A339" s="9"/>
      <c r="B339" s="22" t="s">
        <v>957</v>
      </c>
      <c r="C339" s="24">
        <v>42.382</v>
      </c>
      <c r="D339" s="9"/>
      <c r="E339" s="10"/>
      <c r="F339" s="16"/>
      <c r="G339" s="16"/>
      <c r="H339" s="9"/>
      <c r="I339" s="9"/>
      <c r="J339" s="9"/>
      <c r="K339" s="9"/>
      <c r="L339" s="9"/>
      <c r="M339" s="12"/>
      <c r="N339" s="12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16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112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</row>
    <row r="340" ht="15.0" customHeight="1">
      <c r="A340" s="9"/>
      <c r="B340" s="22" t="s">
        <v>958</v>
      </c>
      <c r="C340" s="24">
        <v>46.149</v>
      </c>
      <c r="D340" s="9"/>
      <c r="E340" s="10"/>
      <c r="F340" s="16"/>
      <c r="G340" s="16"/>
      <c r="H340" s="9"/>
      <c r="I340" s="9"/>
      <c r="J340" s="9"/>
      <c r="K340" s="9"/>
      <c r="L340" s="9"/>
      <c r="M340" s="12"/>
      <c r="N340" s="12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16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112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</row>
    <row r="341" ht="15.0" customHeight="1">
      <c r="A341" s="9"/>
      <c r="B341" s="22" t="s">
        <v>959</v>
      </c>
      <c r="C341" s="24">
        <v>49.917</v>
      </c>
      <c r="D341" s="9"/>
      <c r="E341" s="10"/>
      <c r="F341" s="16"/>
      <c r="G341" s="16"/>
      <c r="H341" s="9"/>
      <c r="I341" s="9"/>
      <c r="J341" s="9"/>
      <c r="K341" s="9"/>
      <c r="L341" s="9"/>
      <c r="M341" s="12"/>
      <c r="N341" s="12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16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112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</row>
    <row r="342" ht="15.0" customHeight="1">
      <c r="A342" s="9"/>
      <c r="B342" s="22" t="s">
        <v>960</v>
      </c>
      <c r="C342" s="24">
        <v>53.684</v>
      </c>
      <c r="D342" s="9"/>
      <c r="E342" s="10"/>
      <c r="F342" s="16"/>
      <c r="G342" s="16"/>
      <c r="H342" s="9"/>
      <c r="I342" s="9"/>
      <c r="J342" s="9"/>
      <c r="K342" s="9"/>
      <c r="L342" s="9"/>
      <c r="M342" s="12"/>
      <c r="N342" s="12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16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112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</row>
    <row r="343" ht="15.0" customHeight="1">
      <c r="A343" s="9"/>
      <c r="B343" s="22" t="s">
        <v>961</v>
      </c>
      <c r="C343" s="24">
        <v>57.452</v>
      </c>
      <c r="D343" s="9"/>
      <c r="E343" s="10"/>
      <c r="F343" s="16"/>
      <c r="G343" s="16"/>
      <c r="H343" s="9"/>
      <c r="I343" s="9"/>
      <c r="J343" s="9"/>
      <c r="K343" s="9"/>
      <c r="L343" s="9"/>
      <c r="M343" s="12"/>
      <c r="N343" s="12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16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112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</row>
    <row r="344" ht="15.0" customHeight="1">
      <c r="A344" s="9"/>
      <c r="B344" s="22" t="s">
        <v>962</v>
      </c>
      <c r="C344" s="24">
        <v>40.01</v>
      </c>
      <c r="D344" s="9"/>
      <c r="E344" s="10"/>
      <c r="F344" s="16"/>
      <c r="G344" s="16"/>
      <c r="H344" s="9"/>
      <c r="I344" s="9"/>
      <c r="J344" s="9"/>
      <c r="K344" s="9"/>
      <c r="L344" s="9"/>
      <c r="M344" s="12"/>
      <c r="N344" s="12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16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112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</row>
    <row r="345" ht="15.0" customHeight="1">
      <c r="A345" s="9"/>
      <c r="B345" s="22" t="s">
        <v>963</v>
      </c>
      <c r="C345" s="24">
        <v>43.917</v>
      </c>
      <c r="D345" s="9"/>
      <c r="E345" s="10"/>
      <c r="F345" s="16"/>
      <c r="G345" s="16"/>
      <c r="H345" s="9"/>
      <c r="I345" s="9"/>
      <c r="J345" s="9"/>
      <c r="K345" s="9"/>
      <c r="L345" s="9"/>
      <c r="M345" s="12"/>
      <c r="N345" s="12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16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112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</row>
    <row r="346" ht="15.0" customHeight="1">
      <c r="A346" s="9"/>
      <c r="B346" s="22" t="s">
        <v>964</v>
      </c>
      <c r="C346" s="24">
        <v>47.824</v>
      </c>
      <c r="D346" s="9"/>
      <c r="E346" s="10"/>
      <c r="F346" s="16"/>
      <c r="G346" s="16"/>
      <c r="H346" s="9"/>
      <c r="I346" s="9"/>
      <c r="J346" s="9"/>
      <c r="K346" s="9"/>
      <c r="L346" s="9"/>
      <c r="M346" s="12"/>
      <c r="N346" s="12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16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112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</row>
    <row r="347" ht="15.0" customHeight="1">
      <c r="A347" s="9"/>
      <c r="B347" s="22" t="s">
        <v>965</v>
      </c>
      <c r="C347" s="24">
        <v>51.731</v>
      </c>
      <c r="D347" s="9"/>
      <c r="E347" s="10"/>
      <c r="F347" s="16"/>
      <c r="G347" s="16"/>
      <c r="H347" s="9"/>
      <c r="I347" s="9"/>
      <c r="J347" s="9"/>
      <c r="K347" s="9"/>
      <c r="L347" s="9"/>
      <c r="M347" s="12"/>
      <c r="N347" s="12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  <c r="AE347" s="16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112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</row>
    <row r="348" ht="15.0" customHeight="1">
      <c r="A348" s="9"/>
      <c r="B348" s="22" t="s">
        <v>966</v>
      </c>
      <c r="C348" s="24">
        <v>55.638</v>
      </c>
      <c r="D348" s="9"/>
      <c r="E348" s="10"/>
      <c r="F348" s="16"/>
      <c r="G348" s="16"/>
      <c r="H348" s="9"/>
      <c r="I348" s="9"/>
      <c r="J348" s="9"/>
      <c r="K348" s="9"/>
      <c r="L348" s="9"/>
      <c r="M348" s="12"/>
      <c r="N348" s="12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16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112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</row>
    <row r="349" ht="15.0" customHeight="1">
      <c r="A349" s="9"/>
      <c r="B349" s="22" t="s">
        <v>967</v>
      </c>
      <c r="C349" s="24">
        <v>59.545</v>
      </c>
      <c r="D349" s="9"/>
      <c r="E349" s="10"/>
      <c r="F349" s="16"/>
      <c r="G349" s="16"/>
      <c r="H349" s="9"/>
      <c r="I349" s="9"/>
      <c r="J349" s="9"/>
      <c r="K349" s="9"/>
      <c r="L349" s="9"/>
      <c r="M349" s="12"/>
      <c r="N349" s="12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16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112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</row>
    <row r="350" ht="15.0" customHeight="1">
      <c r="A350" s="9"/>
      <c r="B350" s="22" t="s">
        <v>968</v>
      </c>
      <c r="C350" s="24">
        <v>63.452</v>
      </c>
      <c r="D350" s="9"/>
      <c r="E350" s="10"/>
      <c r="F350" s="16"/>
      <c r="G350" s="16"/>
      <c r="H350" s="9"/>
      <c r="I350" s="9"/>
      <c r="J350" s="9"/>
      <c r="K350" s="9"/>
      <c r="L350" s="9"/>
      <c r="M350" s="12"/>
      <c r="N350" s="12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16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112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</row>
    <row r="351" ht="15.0" customHeight="1">
      <c r="A351" s="9"/>
      <c r="B351" s="22" t="s">
        <v>969</v>
      </c>
      <c r="C351" s="24">
        <v>50.056</v>
      </c>
      <c r="D351" s="9"/>
      <c r="E351" s="10"/>
      <c r="F351" s="16"/>
      <c r="G351" s="16"/>
      <c r="H351" s="9"/>
      <c r="I351" s="9"/>
      <c r="J351" s="9"/>
      <c r="K351" s="9"/>
      <c r="L351" s="9"/>
      <c r="M351" s="12"/>
      <c r="N351" s="12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16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112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</row>
    <row r="352" ht="15.0" customHeight="1">
      <c r="A352" s="9"/>
      <c r="B352" s="22" t="s">
        <v>970</v>
      </c>
      <c r="C352" s="24">
        <v>54.521</v>
      </c>
      <c r="D352" s="9"/>
      <c r="E352" s="10"/>
      <c r="F352" s="16"/>
      <c r="G352" s="16"/>
      <c r="H352" s="9"/>
      <c r="I352" s="9"/>
      <c r="J352" s="9"/>
      <c r="K352" s="9"/>
      <c r="L352" s="9"/>
      <c r="M352" s="12"/>
      <c r="N352" s="12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16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112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</row>
    <row r="353" ht="15.0" customHeight="1">
      <c r="A353" s="9"/>
      <c r="B353" s="22" t="s">
        <v>971</v>
      </c>
      <c r="C353" s="24">
        <v>58.987</v>
      </c>
      <c r="D353" s="9"/>
      <c r="E353" s="10"/>
      <c r="F353" s="16"/>
      <c r="G353" s="16"/>
      <c r="H353" s="9"/>
      <c r="I353" s="9"/>
      <c r="J353" s="9"/>
      <c r="K353" s="9"/>
      <c r="L353" s="9"/>
      <c r="M353" s="12"/>
      <c r="N353" s="12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16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112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</row>
    <row r="354" ht="15.0" customHeight="1">
      <c r="A354" s="9"/>
      <c r="B354" s="22" t="s">
        <v>972</v>
      </c>
      <c r="C354" s="24">
        <v>63.449</v>
      </c>
      <c r="D354" s="9"/>
      <c r="E354" s="10"/>
      <c r="F354" s="16"/>
      <c r="G354" s="16"/>
      <c r="H354" s="9"/>
      <c r="I354" s="9"/>
      <c r="J354" s="9"/>
      <c r="K354" s="9"/>
      <c r="L354" s="9"/>
      <c r="M354" s="12"/>
      <c r="N354" s="12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16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112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</row>
    <row r="355" ht="15.0" customHeight="1">
      <c r="A355" s="9"/>
      <c r="B355" s="22" t="s">
        <v>973</v>
      </c>
      <c r="C355" s="24">
        <v>67.91699999999999</v>
      </c>
      <c r="D355" s="9"/>
      <c r="E355" s="10"/>
      <c r="F355" s="16"/>
      <c r="G355" s="16"/>
      <c r="H355" s="9"/>
      <c r="I355" s="9"/>
      <c r="J355" s="9"/>
      <c r="K355" s="9"/>
      <c r="L355" s="9"/>
      <c r="M355" s="12"/>
      <c r="N355" s="12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16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112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</row>
    <row r="356" ht="15.0" customHeight="1">
      <c r="A356" s="9"/>
      <c r="B356" s="22" t="s">
        <v>974</v>
      </c>
      <c r="C356" s="24">
        <v>72.38199999999999</v>
      </c>
      <c r="D356" s="9"/>
      <c r="E356" s="10"/>
      <c r="F356" s="16"/>
      <c r="G356" s="16"/>
      <c r="H356" s="9"/>
      <c r="I356" s="9"/>
      <c r="J356" s="9"/>
      <c r="K356" s="9"/>
      <c r="L356" s="9"/>
      <c r="M356" s="12"/>
      <c r="N356" s="12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16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112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</row>
    <row r="357" ht="15.0" customHeight="1">
      <c r="A357" s="9"/>
      <c r="B357" s="22" t="s">
        <v>975</v>
      </c>
      <c r="C357" s="24">
        <v>54.44</v>
      </c>
      <c r="D357" s="9"/>
      <c r="E357" s="10"/>
      <c r="F357" s="16"/>
      <c r="G357" s="16"/>
      <c r="H357" s="9"/>
      <c r="I357" s="9"/>
      <c r="J357" s="9"/>
      <c r="K357" s="9"/>
      <c r="L357" s="9"/>
      <c r="M357" s="12"/>
      <c r="N357" s="12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16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112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</row>
    <row r="358" ht="15.0" customHeight="1">
      <c r="A358" s="9"/>
      <c r="B358" s="22" t="s">
        <v>976</v>
      </c>
      <c r="C358" s="24">
        <v>36.655</v>
      </c>
      <c r="D358" s="9"/>
      <c r="E358" s="121"/>
      <c r="F358" s="16"/>
      <c r="G358" s="16"/>
      <c r="H358" s="9"/>
      <c r="I358" s="9"/>
      <c r="J358" s="9"/>
      <c r="K358" s="9"/>
      <c r="L358" s="9"/>
      <c r="M358" s="12"/>
      <c r="N358" s="12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16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112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</row>
    <row r="359" ht="15.0" customHeight="1">
      <c r="A359" s="9"/>
      <c r="B359" s="22" t="s">
        <v>977</v>
      </c>
      <c r="C359" s="24">
        <v>44.592</v>
      </c>
      <c r="D359" s="9"/>
      <c r="E359" s="121"/>
      <c r="F359" s="16"/>
      <c r="G359" s="16"/>
      <c r="H359" s="9"/>
      <c r="I359" s="9"/>
      <c r="J359" s="9"/>
      <c r="K359" s="9"/>
      <c r="L359" s="9"/>
      <c r="M359" s="12"/>
      <c r="N359" s="12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16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112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</row>
    <row r="360" ht="15.0" customHeight="1">
      <c r="A360" s="9"/>
      <c r="B360" s="22" t="s">
        <v>978</v>
      </c>
      <c r="C360" s="24">
        <v>48.56</v>
      </c>
      <c r="D360" s="9"/>
      <c r="E360" s="10"/>
      <c r="F360" s="16"/>
      <c r="G360" s="16"/>
      <c r="H360" s="9"/>
      <c r="I360" s="9"/>
      <c r="J360" s="9"/>
      <c r="K360" s="9"/>
      <c r="L360" s="9"/>
      <c r="M360" s="12"/>
      <c r="N360" s="12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16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112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</row>
    <row r="361" ht="15.0" customHeight="1">
      <c r="A361" s="9"/>
      <c r="B361" s="22" t="s">
        <v>979</v>
      </c>
      <c r="C361" s="24">
        <v>56.499</v>
      </c>
      <c r="D361" s="9"/>
      <c r="E361" s="10"/>
      <c r="F361" s="16"/>
      <c r="G361" s="16"/>
      <c r="H361" s="9"/>
      <c r="I361" s="9"/>
      <c r="J361" s="9"/>
      <c r="K361" s="9"/>
      <c r="L361" s="9"/>
      <c r="M361" s="12"/>
      <c r="N361" s="12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16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112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</row>
    <row r="362" ht="15.0" customHeight="1">
      <c r="A362" s="9"/>
      <c r="B362" s="22" t="s">
        <v>980</v>
      </c>
      <c r="C362" s="24">
        <v>60.469</v>
      </c>
      <c r="D362" s="9"/>
      <c r="E362" s="10"/>
      <c r="F362" s="16"/>
      <c r="G362" s="16"/>
      <c r="H362" s="9"/>
      <c r="I362" s="9"/>
      <c r="J362" s="9"/>
      <c r="K362" s="9"/>
      <c r="L362" s="9"/>
      <c r="M362" s="12"/>
      <c r="N362" s="12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16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112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</row>
    <row r="363" ht="15.0" customHeight="1">
      <c r="A363" s="9"/>
      <c r="B363" s="22" t="s">
        <v>981</v>
      </c>
      <c r="C363" s="24">
        <v>37.978</v>
      </c>
      <c r="D363" s="9"/>
      <c r="E363" s="10"/>
      <c r="F363" s="16"/>
      <c r="G363" s="16"/>
      <c r="H363" s="9"/>
      <c r="I363" s="9"/>
      <c r="J363" s="9"/>
      <c r="K363" s="9"/>
      <c r="L363" s="9"/>
      <c r="M363" s="12"/>
      <c r="N363" s="12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16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112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</row>
    <row r="364" ht="15.0" customHeight="1">
      <c r="A364" s="9"/>
      <c r="B364" s="22" t="s">
        <v>982</v>
      </c>
      <c r="C364" s="24">
        <v>42.093</v>
      </c>
      <c r="D364" s="9"/>
      <c r="E364" s="10"/>
      <c r="F364" s="16"/>
      <c r="G364" s="16"/>
      <c r="H364" s="9"/>
      <c r="I364" s="9"/>
      <c r="J364" s="9"/>
      <c r="K364" s="9"/>
      <c r="L364" s="9"/>
      <c r="M364" s="12"/>
      <c r="N364" s="12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16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112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</row>
    <row r="365" ht="15.0" customHeight="1">
      <c r="A365" s="9"/>
      <c r="B365" s="22" t="s">
        <v>983</v>
      </c>
      <c r="C365" s="24">
        <v>46.209</v>
      </c>
      <c r="D365" s="9"/>
      <c r="E365" s="10"/>
      <c r="F365" s="16"/>
      <c r="G365" s="16"/>
      <c r="H365" s="9"/>
      <c r="I365" s="9"/>
      <c r="J365" s="9"/>
      <c r="K365" s="9"/>
      <c r="L365" s="9"/>
      <c r="M365" s="12"/>
      <c r="N365" s="12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16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112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</row>
    <row r="366" ht="15.0" customHeight="1">
      <c r="A366" s="9"/>
      <c r="B366" s="22" t="s">
        <v>984</v>
      </c>
      <c r="C366" s="24">
        <v>50.324</v>
      </c>
      <c r="D366" s="9"/>
      <c r="E366" s="10"/>
      <c r="F366" s="16"/>
      <c r="G366" s="16"/>
      <c r="H366" s="9"/>
      <c r="I366" s="9"/>
      <c r="J366" s="9"/>
      <c r="K366" s="9"/>
      <c r="L366" s="9"/>
      <c r="M366" s="12"/>
      <c r="N366" s="12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16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112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</row>
    <row r="367" ht="15.0" customHeight="1">
      <c r="A367" s="9"/>
      <c r="B367" s="22" t="s">
        <v>985</v>
      </c>
      <c r="C367" s="24">
        <v>54.44</v>
      </c>
      <c r="D367" s="9"/>
      <c r="E367" s="10"/>
      <c r="F367" s="16"/>
      <c r="G367" s="16"/>
      <c r="H367" s="9"/>
      <c r="I367" s="9"/>
      <c r="J367" s="9"/>
      <c r="K367" s="9"/>
      <c r="L367" s="9"/>
      <c r="M367" s="12"/>
      <c r="N367" s="12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16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112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</row>
    <row r="368" ht="15.0" customHeight="1">
      <c r="A368" s="9"/>
      <c r="B368" s="22" t="s">
        <v>986</v>
      </c>
      <c r="C368" s="24">
        <v>58.555</v>
      </c>
      <c r="D368" s="9"/>
      <c r="E368" s="10"/>
      <c r="F368" s="16"/>
      <c r="G368" s="16"/>
      <c r="H368" s="9"/>
      <c r="I368" s="9"/>
      <c r="J368" s="9"/>
      <c r="K368" s="9"/>
      <c r="L368" s="9"/>
      <c r="M368" s="12"/>
      <c r="N368" s="12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16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112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</row>
    <row r="369" ht="15.0" customHeight="1">
      <c r="A369" s="9"/>
      <c r="B369" s="22" t="s">
        <v>987</v>
      </c>
      <c r="C369" s="24">
        <v>62.67</v>
      </c>
      <c r="D369" s="9"/>
      <c r="E369" s="10"/>
      <c r="F369" s="16"/>
      <c r="G369" s="16"/>
      <c r="H369" s="9"/>
      <c r="I369" s="9"/>
      <c r="J369" s="9"/>
      <c r="K369" s="9"/>
      <c r="L369" s="9"/>
      <c r="M369" s="12"/>
      <c r="N369" s="12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16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112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</row>
    <row r="370" ht="15.0" customHeight="1">
      <c r="A370" s="9"/>
      <c r="B370" s="22" t="s">
        <v>988</v>
      </c>
      <c r="C370" s="24">
        <v>66.78599999999999</v>
      </c>
      <c r="D370" s="9"/>
      <c r="E370" s="10"/>
      <c r="F370" s="16"/>
      <c r="G370" s="16"/>
      <c r="H370" s="9"/>
      <c r="I370" s="9"/>
      <c r="J370" s="9"/>
      <c r="K370" s="9"/>
      <c r="L370" s="9"/>
      <c r="M370" s="12"/>
      <c r="N370" s="12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16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112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</row>
    <row r="371" ht="15.0" customHeight="1">
      <c r="A371" s="9"/>
      <c r="B371" s="22" t="s">
        <v>989</v>
      </c>
      <c r="C371" s="24">
        <v>43.269</v>
      </c>
      <c r="D371" s="9"/>
      <c r="E371" s="10"/>
      <c r="F371" s="16"/>
      <c r="G371" s="16"/>
      <c r="H371" s="9"/>
      <c r="I371" s="9"/>
      <c r="J371" s="9"/>
      <c r="K371" s="9"/>
      <c r="L371" s="9"/>
      <c r="M371" s="12"/>
      <c r="N371" s="12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16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112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</row>
    <row r="372" ht="15.0" customHeight="1">
      <c r="A372" s="9"/>
      <c r="B372" s="22" t="s">
        <v>990</v>
      </c>
      <c r="C372" s="24">
        <v>47.972</v>
      </c>
      <c r="D372" s="9"/>
      <c r="E372" s="10"/>
      <c r="F372" s="16"/>
      <c r="G372" s="16"/>
      <c r="H372" s="9"/>
      <c r="I372" s="9"/>
      <c r="J372" s="9"/>
      <c r="K372" s="9"/>
      <c r="L372" s="9"/>
      <c r="M372" s="12"/>
      <c r="N372" s="12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16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112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</row>
    <row r="373" ht="15.0" customHeight="1">
      <c r="A373" s="9"/>
      <c r="B373" s="22" t="s">
        <v>991</v>
      </c>
      <c r="C373" s="24">
        <v>52.676</v>
      </c>
      <c r="D373" s="9"/>
      <c r="E373" s="10"/>
      <c r="F373" s="16"/>
      <c r="G373" s="16"/>
      <c r="H373" s="9"/>
      <c r="I373" s="9"/>
      <c r="J373" s="9"/>
      <c r="K373" s="9"/>
      <c r="L373" s="9"/>
      <c r="M373" s="12"/>
      <c r="N373" s="12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16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112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</row>
    <row r="374" ht="15.0" customHeight="1">
      <c r="A374" s="9"/>
      <c r="B374" s="22" t="s">
        <v>992</v>
      </c>
      <c r="C374" s="24">
        <v>57.379</v>
      </c>
      <c r="D374" s="9"/>
      <c r="E374" s="10"/>
      <c r="F374" s="16"/>
      <c r="G374" s="16"/>
      <c r="H374" s="9"/>
      <c r="I374" s="9"/>
      <c r="J374" s="9"/>
      <c r="K374" s="9"/>
      <c r="L374" s="9"/>
      <c r="M374" s="12"/>
      <c r="N374" s="12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16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112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</row>
    <row r="375" ht="15.0" customHeight="1">
      <c r="A375" s="9"/>
      <c r="B375" s="22" t="s">
        <v>993</v>
      </c>
      <c r="C375" s="24">
        <v>62.082</v>
      </c>
      <c r="D375" s="9"/>
      <c r="E375" s="10"/>
      <c r="F375" s="16"/>
      <c r="G375" s="16"/>
      <c r="H375" s="9"/>
      <c r="I375" s="9"/>
      <c r="J375" s="9"/>
      <c r="K375" s="9"/>
      <c r="L375" s="9"/>
      <c r="M375" s="12"/>
      <c r="N375" s="12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16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112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</row>
    <row r="376" ht="15.0" customHeight="1">
      <c r="A376" s="9"/>
      <c r="B376" s="22" t="s">
        <v>994</v>
      </c>
      <c r="C376" s="24">
        <v>66.78899999999999</v>
      </c>
      <c r="D376" s="9"/>
      <c r="E376" s="10"/>
      <c r="F376" s="16"/>
      <c r="G376" s="16"/>
      <c r="H376" s="9"/>
      <c r="I376" s="9"/>
      <c r="J376" s="9"/>
      <c r="K376" s="9"/>
      <c r="L376" s="9"/>
      <c r="M376" s="12"/>
      <c r="N376" s="12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16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112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</row>
    <row r="377" ht="15.0" customHeight="1">
      <c r="A377" s="9"/>
      <c r="B377" s="22" t="s">
        <v>995</v>
      </c>
      <c r="C377" s="24">
        <v>71.48899999999999</v>
      </c>
      <c r="D377" s="9"/>
      <c r="E377" s="121"/>
      <c r="F377" s="16"/>
      <c r="G377" s="16"/>
      <c r="H377" s="9"/>
      <c r="I377" s="9"/>
      <c r="J377" s="9"/>
      <c r="K377" s="9"/>
      <c r="L377" s="9"/>
      <c r="M377" s="12"/>
      <c r="N377" s="12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16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112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</row>
    <row r="378" ht="15.0" customHeight="1">
      <c r="A378" s="9"/>
      <c r="B378" s="22" t="s">
        <v>996</v>
      </c>
      <c r="C378" s="24">
        <v>76.193</v>
      </c>
      <c r="D378" s="9"/>
      <c r="E378" s="10"/>
      <c r="F378" s="16"/>
      <c r="G378" s="16"/>
      <c r="H378" s="9"/>
      <c r="I378" s="9"/>
      <c r="J378" s="9"/>
      <c r="K378" s="9"/>
      <c r="L378" s="9"/>
      <c r="M378" s="12"/>
      <c r="N378" s="12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16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112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</row>
    <row r="379" ht="15.0" customHeight="1">
      <c r="A379" s="9"/>
      <c r="B379" s="22" t="s">
        <v>166</v>
      </c>
      <c r="C379" s="24" t="s">
        <v>166</v>
      </c>
      <c r="D379" s="9" t="s">
        <v>129</v>
      </c>
      <c r="E379" s="10"/>
      <c r="F379" s="16"/>
      <c r="G379" s="16"/>
      <c r="H379" s="9"/>
      <c r="I379" s="9"/>
      <c r="J379" s="9"/>
      <c r="K379" s="9"/>
      <c r="L379" s="9"/>
      <c r="M379" s="12"/>
      <c r="N379" s="12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16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112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</row>
    <row r="380" ht="15.0" customHeight="1">
      <c r="A380" s="9"/>
      <c r="B380" s="22" t="s">
        <v>997</v>
      </c>
      <c r="C380" s="24">
        <v>33.591</v>
      </c>
      <c r="D380" s="16"/>
      <c r="E380" s="10"/>
      <c r="F380" s="16"/>
      <c r="G380" s="16"/>
      <c r="H380" s="9"/>
      <c r="I380" s="9"/>
      <c r="J380" s="9"/>
      <c r="K380" s="9"/>
      <c r="L380" s="9"/>
      <c r="M380" s="12"/>
      <c r="N380" s="12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16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112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</row>
    <row r="381" ht="15.0" customHeight="1">
      <c r="A381" s="9"/>
      <c r="B381" s="22" t="s">
        <v>998</v>
      </c>
      <c r="C381" s="24">
        <v>37.219</v>
      </c>
      <c r="D381" s="16"/>
      <c r="E381" s="10"/>
      <c r="F381" s="16"/>
      <c r="G381" s="16"/>
      <c r="H381" s="9"/>
      <c r="I381" s="9"/>
      <c r="J381" s="9"/>
      <c r="K381" s="9"/>
      <c r="L381" s="9"/>
      <c r="M381" s="12"/>
      <c r="N381" s="12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16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112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</row>
    <row r="382" ht="15.0" customHeight="1">
      <c r="A382" s="9"/>
      <c r="B382" s="22" t="s">
        <v>999</v>
      </c>
      <c r="C382" s="24">
        <v>40.847</v>
      </c>
      <c r="D382" s="16"/>
      <c r="E382" s="10"/>
      <c r="F382" s="16"/>
      <c r="G382" s="16"/>
      <c r="H382" s="9"/>
      <c r="I382" s="9"/>
      <c r="J382" s="9"/>
      <c r="K382" s="9"/>
      <c r="L382" s="9"/>
      <c r="M382" s="12"/>
      <c r="N382" s="12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16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112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</row>
    <row r="383" ht="15.0" customHeight="1">
      <c r="A383" s="9"/>
      <c r="B383" s="22" t="s">
        <v>1000</v>
      </c>
      <c r="C383" s="24">
        <v>44.475</v>
      </c>
      <c r="D383" s="16"/>
      <c r="E383" s="10"/>
      <c r="F383" s="16"/>
      <c r="G383" s="16"/>
      <c r="H383" s="9"/>
      <c r="I383" s="9"/>
      <c r="J383" s="9"/>
      <c r="K383" s="9"/>
      <c r="L383" s="9"/>
      <c r="M383" s="12"/>
      <c r="N383" s="12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16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</row>
    <row r="384" ht="15.0" customHeight="1">
      <c r="A384" s="9"/>
      <c r="B384" s="22" t="s">
        <v>1001</v>
      </c>
      <c r="C384" s="24">
        <v>48.103</v>
      </c>
      <c r="D384" s="16"/>
      <c r="E384" s="10"/>
      <c r="F384" s="16"/>
      <c r="G384" s="16"/>
      <c r="H384" s="9"/>
      <c r="I384" s="9"/>
      <c r="J384" s="9"/>
      <c r="K384" s="9"/>
      <c r="L384" s="9"/>
      <c r="M384" s="12"/>
      <c r="N384" s="12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16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</row>
    <row r="385" ht="15.0" customHeight="1">
      <c r="A385" s="9"/>
      <c r="B385" s="22" t="s">
        <v>1002</v>
      </c>
      <c r="C385" s="24">
        <v>51.731</v>
      </c>
      <c r="D385" s="16"/>
      <c r="E385" s="10"/>
      <c r="F385" s="16"/>
      <c r="G385" s="16"/>
      <c r="H385" s="9"/>
      <c r="I385" s="9"/>
      <c r="J385" s="9"/>
      <c r="K385" s="9"/>
      <c r="L385" s="9"/>
      <c r="M385" s="12"/>
      <c r="N385" s="12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16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</row>
    <row r="386" ht="15.0" customHeight="1">
      <c r="A386" s="9"/>
      <c r="B386" s="22" t="s">
        <v>1003</v>
      </c>
      <c r="C386" s="24">
        <v>34.847</v>
      </c>
      <c r="D386" s="16"/>
      <c r="E386" s="10"/>
      <c r="F386" s="16"/>
      <c r="G386" s="16"/>
      <c r="H386" s="9"/>
      <c r="I386" s="9"/>
      <c r="J386" s="9"/>
      <c r="K386" s="9"/>
      <c r="L386" s="9"/>
      <c r="M386" s="12"/>
      <c r="N386" s="12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16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</row>
    <row r="387" ht="15.0" customHeight="1">
      <c r="A387" s="9"/>
      <c r="B387" s="22" t="s">
        <v>1004</v>
      </c>
      <c r="C387" s="24">
        <v>38.614</v>
      </c>
      <c r="D387" s="16"/>
      <c r="E387" s="10"/>
      <c r="F387" s="16"/>
      <c r="G387" s="16"/>
      <c r="H387" s="9"/>
      <c r="I387" s="9"/>
      <c r="J387" s="9"/>
      <c r="K387" s="9"/>
      <c r="L387" s="9"/>
      <c r="M387" s="12"/>
      <c r="N387" s="12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16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</row>
    <row r="388" ht="15.0" customHeight="1">
      <c r="A388" s="9"/>
      <c r="B388" s="22" t="s">
        <v>1005</v>
      </c>
      <c r="C388" s="24">
        <v>42.382</v>
      </c>
      <c r="D388" s="16"/>
      <c r="E388" s="10"/>
      <c r="F388" s="16"/>
      <c r="G388" s="16"/>
      <c r="H388" s="9"/>
      <c r="I388" s="9"/>
      <c r="J388" s="9"/>
      <c r="K388" s="9"/>
      <c r="L388" s="9"/>
      <c r="M388" s="12"/>
      <c r="N388" s="12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16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</row>
    <row r="389" ht="15.0" customHeight="1">
      <c r="A389" s="9"/>
      <c r="B389" s="22" t="s">
        <v>1006</v>
      </c>
      <c r="C389" s="24">
        <v>46.149</v>
      </c>
      <c r="D389" s="16"/>
      <c r="E389" s="10"/>
      <c r="F389" s="16"/>
      <c r="G389" s="16"/>
      <c r="H389" s="9"/>
      <c r="I389" s="9"/>
      <c r="J389" s="9"/>
      <c r="K389" s="9"/>
      <c r="L389" s="9"/>
      <c r="M389" s="12"/>
      <c r="N389" s="12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16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</row>
    <row r="390" ht="15.0" customHeight="1">
      <c r="A390" s="9"/>
      <c r="B390" s="22" t="s">
        <v>1007</v>
      </c>
      <c r="C390" s="24">
        <v>49.917</v>
      </c>
      <c r="D390" s="16"/>
      <c r="E390" s="10"/>
      <c r="F390" s="16"/>
      <c r="G390" s="16"/>
      <c r="H390" s="9"/>
      <c r="I390" s="9"/>
      <c r="J390" s="9"/>
      <c r="K390" s="9"/>
      <c r="L390" s="9"/>
      <c r="M390" s="12"/>
      <c r="N390" s="12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16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</row>
    <row r="391" ht="15.0" customHeight="1">
      <c r="A391" s="9"/>
      <c r="B391" s="22" t="s">
        <v>1008</v>
      </c>
      <c r="C391" s="24">
        <v>53.684</v>
      </c>
      <c r="D391" s="16"/>
      <c r="E391" s="10"/>
      <c r="F391" s="16"/>
      <c r="G391" s="16"/>
      <c r="H391" s="9"/>
      <c r="I391" s="10"/>
      <c r="J391" s="9"/>
      <c r="K391" s="9"/>
      <c r="L391" s="9"/>
      <c r="M391" s="12"/>
      <c r="N391" s="12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16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</row>
    <row r="392" ht="15.0" customHeight="1">
      <c r="A392" s="9"/>
      <c r="B392" s="22" t="s">
        <v>1009</v>
      </c>
      <c r="C392" s="24">
        <v>57.452</v>
      </c>
      <c r="D392" s="16"/>
      <c r="E392" s="10"/>
      <c r="F392" s="16"/>
      <c r="G392" s="16"/>
      <c r="H392" s="9"/>
      <c r="I392" s="10"/>
      <c r="J392" s="9"/>
      <c r="K392" s="9"/>
      <c r="L392" s="9"/>
      <c r="M392" s="12"/>
      <c r="N392" s="12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16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</row>
    <row r="393" ht="15.0" customHeight="1">
      <c r="A393" s="9"/>
      <c r="B393" s="22" t="s">
        <v>1010</v>
      </c>
      <c r="C393" s="24">
        <v>40.01</v>
      </c>
      <c r="D393" s="16"/>
      <c r="E393" s="10"/>
      <c r="F393" s="16"/>
      <c r="G393" s="16"/>
      <c r="H393" s="9"/>
      <c r="I393" s="10"/>
      <c r="J393" s="9"/>
      <c r="K393" s="9"/>
      <c r="L393" s="9"/>
      <c r="M393" s="12"/>
      <c r="N393" s="12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16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</row>
    <row r="394" ht="15.0" customHeight="1">
      <c r="A394" s="9"/>
      <c r="B394" s="22" t="s">
        <v>1011</v>
      </c>
      <c r="C394" s="24">
        <v>43.917</v>
      </c>
      <c r="D394" s="16"/>
      <c r="E394" s="10"/>
      <c r="F394" s="16"/>
      <c r="G394" s="16"/>
      <c r="H394" s="9"/>
      <c r="I394" s="10"/>
      <c r="J394" s="9"/>
      <c r="K394" s="9"/>
      <c r="L394" s="9"/>
      <c r="M394" s="12"/>
      <c r="N394" s="12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16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</row>
    <row r="395" ht="15.0" customHeight="1">
      <c r="A395" s="9"/>
      <c r="B395" s="22" t="s">
        <v>1012</v>
      </c>
      <c r="C395" s="24">
        <v>47.824</v>
      </c>
      <c r="D395" s="16"/>
      <c r="E395" s="10"/>
      <c r="F395" s="16"/>
      <c r="G395" s="16"/>
      <c r="H395" s="9"/>
      <c r="I395" s="10"/>
      <c r="J395" s="9"/>
      <c r="K395" s="9"/>
      <c r="L395" s="9"/>
      <c r="M395" s="12"/>
      <c r="N395" s="12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16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</row>
    <row r="396" ht="15.0" customHeight="1">
      <c r="A396" s="9"/>
      <c r="B396" s="22" t="s">
        <v>1013</v>
      </c>
      <c r="C396" s="24">
        <v>51.731</v>
      </c>
      <c r="D396" s="16"/>
      <c r="E396" s="10"/>
      <c r="F396" s="16"/>
      <c r="G396" s="16"/>
      <c r="H396" s="9"/>
      <c r="I396" s="10"/>
      <c r="J396" s="9"/>
      <c r="K396" s="9"/>
      <c r="L396" s="9"/>
      <c r="M396" s="12"/>
      <c r="N396" s="12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16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</row>
    <row r="397" ht="15.0" customHeight="1">
      <c r="A397" s="9"/>
      <c r="B397" s="22" t="s">
        <v>1014</v>
      </c>
      <c r="C397" s="24">
        <v>55.638</v>
      </c>
      <c r="D397" s="16"/>
      <c r="E397" s="10"/>
      <c r="F397" s="16"/>
      <c r="G397" s="16"/>
      <c r="H397" s="9"/>
      <c r="I397" s="10"/>
      <c r="J397" s="9"/>
      <c r="K397" s="9"/>
      <c r="L397" s="9"/>
      <c r="M397" s="12"/>
      <c r="N397" s="12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16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</row>
    <row r="398" ht="15.0" customHeight="1">
      <c r="A398" s="9"/>
      <c r="B398" s="22" t="s">
        <v>1015</v>
      </c>
      <c r="C398" s="24">
        <v>59.545</v>
      </c>
      <c r="D398" s="16"/>
      <c r="E398" s="10"/>
      <c r="F398" s="16"/>
      <c r="G398" s="16"/>
      <c r="H398" s="9"/>
      <c r="I398" s="10"/>
      <c r="J398" s="9"/>
      <c r="K398" s="9"/>
      <c r="L398" s="9"/>
      <c r="M398" s="12"/>
      <c r="N398" s="12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16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</row>
    <row r="399" ht="15.0" customHeight="1">
      <c r="A399" s="9"/>
      <c r="B399" s="22" t="s">
        <v>1016</v>
      </c>
      <c r="C399" s="24">
        <v>63.452</v>
      </c>
      <c r="D399" s="16"/>
      <c r="E399" s="10"/>
      <c r="F399" s="16"/>
      <c r="G399" s="16"/>
      <c r="H399" s="9"/>
      <c r="I399" s="10"/>
      <c r="J399" s="9"/>
      <c r="K399" s="9"/>
      <c r="L399" s="9"/>
      <c r="M399" s="12"/>
      <c r="N399" s="12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16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</row>
    <row r="400" ht="15.0" customHeight="1">
      <c r="A400" s="9"/>
      <c r="B400" s="22" t="s">
        <v>1017</v>
      </c>
      <c r="C400" s="24">
        <v>50.056</v>
      </c>
      <c r="D400" s="16"/>
      <c r="E400" s="10"/>
      <c r="F400" s="16"/>
      <c r="G400" s="16"/>
      <c r="H400" s="9"/>
      <c r="I400" s="10"/>
      <c r="J400" s="9"/>
      <c r="K400" s="9"/>
      <c r="L400" s="9"/>
      <c r="M400" s="12"/>
      <c r="N400" s="12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16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</row>
    <row r="401" ht="15.0" customHeight="1">
      <c r="A401" s="9"/>
      <c r="B401" s="22" t="s">
        <v>1018</v>
      </c>
      <c r="C401" s="24">
        <v>54.521</v>
      </c>
      <c r="D401" s="16"/>
      <c r="E401" s="10"/>
      <c r="F401" s="16"/>
      <c r="G401" s="16"/>
      <c r="H401" s="9"/>
      <c r="I401" s="10"/>
      <c r="J401" s="9"/>
      <c r="K401" s="9"/>
      <c r="L401" s="9"/>
      <c r="M401" s="12"/>
      <c r="N401" s="12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16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</row>
    <row r="402" ht="15.0" customHeight="1">
      <c r="A402" s="9"/>
      <c r="B402" s="22" t="s">
        <v>1019</v>
      </c>
      <c r="C402" s="24">
        <v>58.987</v>
      </c>
      <c r="D402" s="16"/>
      <c r="E402" s="10"/>
      <c r="F402" s="16"/>
      <c r="G402" s="16"/>
      <c r="H402" s="9"/>
      <c r="I402" s="10"/>
      <c r="J402" s="9"/>
      <c r="K402" s="9"/>
      <c r="L402" s="9"/>
      <c r="M402" s="12"/>
      <c r="N402" s="12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16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</row>
    <row r="403" ht="15.0" customHeight="1">
      <c r="A403" s="9"/>
      <c r="B403" s="22" t="s">
        <v>1020</v>
      </c>
      <c r="C403" s="24">
        <v>63.449</v>
      </c>
      <c r="D403" s="16"/>
      <c r="E403" s="10"/>
      <c r="F403" s="16"/>
      <c r="G403" s="16"/>
      <c r="H403" s="9"/>
      <c r="I403" s="10"/>
      <c r="J403" s="9"/>
      <c r="K403" s="9"/>
      <c r="L403" s="9"/>
      <c r="M403" s="12"/>
      <c r="N403" s="12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16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</row>
    <row r="404" ht="15.0" customHeight="1">
      <c r="A404" s="9"/>
      <c r="B404" s="22" t="s">
        <v>1021</v>
      </c>
      <c r="C404" s="24">
        <v>67.91699999999999</v>
      </c>
      <c r="D404" s="16"/>
      <c r="E404" s="10"/>
      <c r="F404" s="16"/>
      <c r="G404" s="16"/>
      <c r="H404" s="9"/>
      <c r="I404" s="10"/>
      <c r="J404" s="9"/>
      <c r="K404" s="9"/>
      <c r="L404" s="9"/>
      <c r="M404" s="12"/>
      <c r="N404" s="12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16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</row>
    <row r="405" ht="15.0" customHeight="1">
      <c r="A405" s="9"/>
      <c r="B405" s="22" t="s">
        <v>1022</v>
      </c>
      <c r="C405" s="24">
        <v>72.38199999999999</v>
      </c>
      <c r="D405" s="16"/>
      <c r="E405" s="10"/>
      <c r="F405" s="16"/>
      <c r="G405" s="16"/>
      <c r="H405" s="9"/>
      <c r="I405" s="10"/>
      <c r="J405" s="9"/>
      <c r="K405" s="9"/>
      <c r="L405" s="9"/>
      <c r="M405" s="12"/>
      <c r="N405" s="12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16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</row>
    <row r="406" ht="15.0" customHeight="1">
      <c r="A406" s="9"/>
      <c r="B406" s="22" t="s">
        <v>1023</v>
      </c>
      <c r="C406" s="24">
        <v>54.44</v>
      </c>
      <c r="D406" s="16"/>
      <c r="E406" s="10"/>
      <c r="F406" s="16"/>
      <c r="G406" s="16"/>
      <c r="H406" s="9"/>
      <c r="I406" s="10"/>
      <c r="J406" s="9"/>
      <c r="K406" s="9"/>
      <c r="L406" s="9"/>
      <c r="M406" s="12"/>
      <c r="N406" s="12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16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</row>
    <row r="407" ht="15.0" customHeight="1">
      <c r="A407" s="9"/>
      <c r="B407" s="22" t="s">
        <v>1024</v>
      </c>
      <c r="C407" s="24">
        <v>36.655</v>
      </c>
      <c r="D407" s="16"/>
      <c r="E407" s="10"/>
      <c r="F407" s="16"/>
      <c r="G407" s="16"/>
      <c r="H407" s="9"/>
      <c r="I407" s="10"/>
      <c r="J407" s="9"/>
      <c r="K407" s="9"/>
      <c r="L407" s="9"/>
      <c r="M407" s="12"/>
      <c r="N407" s="12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16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</row>
    <row r="408" ht="15.0" customHeight="1">
      <c r="A408" s="9"/>
      <c r="B408" s="22" t="s">
        <v>1025</v>
      </c>
      <c r="C408" s="24">
        <v>44.592</v>
      </c>
      <c r="D408" s="16"/>
      <c r="E408" s="10"/>
      <c r="F408" s="16"/>
      <c r="G408" s="16"/>
      <c r="H408" s="9"/>
      <c r="I408" s="10"/>
      <c r="J408" s="9"/>
      <c r="K408" s="9"/>
      <c r="L408" s="9"/>
      <c r="M408" s="12"/>
      <c r="N408" s="12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16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</row>
    <row r="409" ht="15.0" customHeight="1">
      <c r="A409" s="9"/>
      <c r="B409" s="22" t="s">
        <v>1026</v>
      </c>
      <c r="C409" s="24">
        <v>48.56</v>
      </c>
      <c r="D409" s="16"/>
      <c r="E409" s="10"/>
      <c r="F409" s="16"/>
      <c r="G409" s="16"/>
      <c r="H409" s="9"/>
      <c r="I409" s="10"/>
      <c r="J409" s="9"/>
      <c r="K409" s="9"/>
      <c r="L409" s="9"/>
      <c r="M409" s="12"/>
      <c r="N409" s="12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16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</row>
    <row r="410" ht="15.0" customHeight="1">
      <c r="A410" s="9"/>
      <c r="B410" s="22" t="s">
        <v>1027</v>
      </c>
      <c r="C410" s="24">
        <v>56.499</v>
      </c>
      <c r="D410" s="16"/>
      <c r="E410" s="10"/>
      <c r="F410" s="16"/>
      <c r="G410" s="16"/>
      <c r="H410" s="9"/>
      <c r="I410" s="10"/>
      <c r="J410" s="9"/>
      <c r="K410" s="9"/>
      <c r="L410" s="9"/>
      <c r="M410" s="12"/>
      <c r="N410" s="12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16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</row>
    <row r="411" ht="15.0" customHeight="1">
      <c r="A411" s="9"/>
      <c r="B411" s="22" t="s">
        <v>1028</v>
      </c>
      <c r="C411" s="24">
        <v>60.469</v>
      </c>
      <c r="D411" s="16"/>
      <c r="E411" s="10"/>
      <c r="F411" s="16"/>
      <c r="G411" s="16"/>
      <c r="H411" s="9"/>
      <c r="I411" s="10"/>
      <c r="J411" s="9"/>
      <c r="K411" s="9"/>
      <c r="L411" s="9"/>
      <c r="M411" s="12"/>
      <c r="N411" s="12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16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</row>
    <row r="412" ht="15.0" customHeight="1">
      <c r="A412" s="9"/>
      <c r="B412" s="22" t="s">
        <v>1029</v>
      </c>
      <c r="C412" s="24">
        <v>37.978</v>
      </c>
      <c r="D412" s="16"/>
      <c r="E412" s="10"/>
      <c r="F412" s="16"/>
      <c r="G412" s="16"/>
      <c r="H412" s="9"/>
      <c r="I412" s="10"/>
      <c r="J412" s="9"/>
      <c r="K412" s="9"/>
      <c r="L412" s="9"/>
      <c r="M412" s="12"/>
      <c r="N412" s="12"/>
      <c r="O412" s="9"/>
      <c r="P412" s="9"/>
      <c r="Q412" s="9"/>
      <c r="R412" s="9"/>
      <c r="S412" s="9"/>
      <c r="T412" s="10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16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</row>
    <row r="413" ht="15.0" customHeight="1">
      <c r="A413" s="9"/>
      <c r="B413" s="22" t="s">
        <v>1030</v>
      </c>
      <c r="C413" s="24">
        <v>42.093</v>
      </c>
      <c r="D413" s="16"/>
      <c r="E413" s="10"/>
      <c r="F413" s="16"/>
      <c r="G413" s="16"/>
      <c r="H413" s="9"/>
      <c r="I413" s="10"/>
      <c r="J413" s="9"/>
      <c r="K413" s="9"/>
      <c r="L413" s="9"/>
      <c r="M413" s="12"/>
      <c r="N413" s="12"/>
      <c r="O413" s="9"/>
      <c r="P413" s="9"/>
      <c r="Q413" s="9"/>
      <c r="R413" s="9"/>
      <c r="S413" s="9"/>
      <c r="T413" s="10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16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</row>
    <row r="414" ht="15.0" customHeight="1">
      <c r="A414" s="9"/>
      <c r="B414" s="22" t="s">
        <v>1031</v>
      </c>
      <c r="C414" s="24">
        <v>46.209</v>
      </c>
      <c r="D414" s="16"/>
      <c r="E414" s="10"/>
      <c r="F414" s="16"/>
      <c r="G414" s="16"/>
      <c r="H414" s="9"/>
      <c r="I414" s="10"/>
      <c r="J414" s="9"/>
      <c r="K414" s="9"/>
      <c r="L414" s="9"/>
      <c r="M414" s="12"/>
      <c r="N414" s="12"/>
      <c r="O414" s="9"/>
      <c r="P414" s="9"/>
      <c r="Q414" s="9"/>
      <c r="R414" s="9"/>
      <c r="S414" s="9"/>
      <c r="T414" s="10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16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</row>
    <row r="415" ht="15.0" customHeight="1">
      <c r="A415" s="9"/>
      <c r="B415" s="22" t="s">
        <v>1032</v>
      </c>
      <c r="C415" s="24">
        <v>50.324</v>
      </c>
      <c r="D415" s="16"/>
      <c r="E415" s="10"/>
      <c r="F415" s="16"/>
      <c r="G415" s="16"/>
      <c r="H415" s="9"/>
      <c r="I415" s="10"/>
      <c r="J415" s="9"/>
      <c r="K415" s="9"/>
      <c r="L415" s="9"/>
      <c r="M415" s="12"/>
      <c r="N415" s="12"/>
      <c r="O415" s="9"/>
      <c r="P415" s="9"/>
      <c r="Q415" s="9"/>
      <c r="R415" s="9"/>
      <c r="S415" s="9"/>
      <c r="T415" s="10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16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</row>
    <row r="416" ht="15.0" customHeight="1">
      <c r="A416" s="9"/>
      <c r="B416" s="22" t="s">
        <v>1033</v>
      </c>
      <c r="C416" s="24">
        <v>54.44</v>
      </c>
      <c r="D416" s="16"/>
      <c r="E416" s="10"/>
      <c r="F416" s="16"/>
      <c r="G416" s="16"/>
      <c r="H416" s="9"/>
      <c r="I416" s="10"/>
      <c r="J416" s="9"/>
      <c r="K416" s="9"/>
      <c r="L416" s="9"/>
      <c r="M416" s="12"/>
      <c r="N416" s="12"/>
      <c r="O416" s="9"/>
      <c r="P416" s="9"/>
      <c r="Q416" s="10"/>
      <c r="R416" s="9"/>
      <c r="S416" s="9"/>
      <c r="T416" s="10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16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</row>
    <row r="417" ht="15.0" customHeight="1">
      <c r="A417" s="9"/>
      <c r="B417" s="22" t="s">
        <v>1034</v>
      </c>
      <c r="C417" s="24">
        <v>58.555</v>
      </c>
      <c r="D417" s="16"/>
      <c r="E417" s="10"/>
      <c r="F417" s="16"/>
      <c r="G417" s="16"/>
      <c r="H417" s="9"/>
      <c r="I417" s="10"/>
      <c r="J417" s="9"/>
      <c r="K417" s="9"/>
      <c r="L417" s="9"/>
      <c r="M417" s="12"/>
      <c r="N417" s="12"/>
      <c r="O417" s="9"/>
      <c r="P417" s="9"/>
      <c r="Q417" s="10"/>
      <c r="R417" s="9"/>
      <c r="S417" s="9"/>
      <c r="T417" s="10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16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</row>
    <row r="418" ht="15.0" customHeight="1">
      <c r="A418" s="9"/>
      <c r="B418" s="22" t="s">
        <v>1035</v>
      </c>
      <c r="C418" s="24">
        <v>62.67</v>
      </c>
      <c r="D418" s="16"/>
      <c r="E418" s="10"/>
      <c r="F418" s="16"/>
      <c r="G418" s="16"/>
      <c r="H418" s="9"/>
      <c r="I418" s="10"/>
      <c r="J418" s="9"/>
      <c r="K418" s="9"/>
      <c r="L418" s="9"/>
      <c r="M418" s="12"/>
      <c r="N418" s="12"/>
      <c r="O418" s="9"/>
      <c r="P418" s="9"/>
      <c r="Q418" s="10"/>
      <c r="R418" s="9"/>
      <c r="S418" s="9"/>
      <c r="T418" s="10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16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</row>
    <row r="419" ht="15.0" customHeight="1">
      <c r="A419" s="9"/>
      <c r="B419" s="22" t="s">
        <v>1036</v>
      </c>
      <c r="C419" s="24">
        <v>66.78599999999999</v>
      </c>
      <c r="D419" s="16"/>
      <c r="E419" s="10"/>
      <c r="F419" s="16"/>
      <c r="G419" s="16"/>
      <c r="H419" s="9"/>
      <c r="I419" s="10"/>
      <c r="J419" s="9"/>
      <c r="K419" s="9"/>
      <c r="L419" s="9"/>
      <c r="M419" s="12"/>
      <c r="N419" s="12"/>
      <c r="O419" s="9"/>
      <c r="P419" s="9"/>
      <c r="Q419" s="10"/>
      <c r="R419" s="9"/>
      <c r="S419" s="9"/>
      <c r="T419" s="10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16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</row>
    <row r="420" ht="15.0" customHeight="1">
      <c r="A420" s="9"/>
      <c r="B420" s="22" t="s">
        <v>1037</v>
      </c>
      <c r="C420" s="24">
        <v>43.269</v>
      </c>
      <c r="D420" s="16"/>
      <c r="E420" s="10"/>
      <c r="F420" s="16"/>
      <c r="G420" s="16"/>
      <c r="H420" s="9"/>
      <c r="I420" s="10"/>
      <c r="J420" s="9"/>
      <c r="K420" s="9"/>
      <c r="L420" s="9"/>
      <c r="M420" s="12"/>
      <c r="N420" s="12"/>
      <c r="O420" s="9"/>
      <c r="P420" s="9"/>
      <c r="Q420" s="10"/>
      <c r="R420" s="9"/>
      <c r="S420" s="9"/>
      <c r="T420" s="10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16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</row>
    <row r="421" ht="15.0" customHeight="1">
      <c r="A421" s="9"/>
      <c r="B421" s="22" t="s">
        <v>1038</v>
      </c>
      <c r="C421" s="24">
        <v>47.972</v>
      </c>
      <c r="D421" s="16"/>
      <c r="E421" s="10"/>
      <c r="F421" s="16"/>
      <c r="G421" s="16"/>
      <c r="H421" s="9"/>
      <c r="I421" s="10"/>
      <c r="J421" s="9"/>
      <c r="K421" s="9"/>
      <c r="L421" s="9"/>
      <c r="M421" s="12"/>
      <c r="N421" s="12"/>
      <c r="O421" s="9"/>
      <c r="P421" s="9"/>
      <c r="Q421" s="10"/>
      <c r="R421" s="9"/>
      <c r="S421" s="9"/>
      <c r="T421" s="10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16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</row>
    <row r="422" ht="15.0" customHeight="1">
      <c r="A422" s="9"/>
      <c r="B422" s="22" t="s">
        <v>1039</v>
      </c>
      <c r="C422" s="24">
        <v>52.676</v>
      </c>
      <c r="D422" s="16"/>
      <c r="E422" s="10"/>
      <c r="F422" s="16"/>
      <c r="G422" s="16"/>
      <c r="H422" s="9"/>
      <c r="I422" s="10"/>
      <c r="J422" s="9"/>
      <c r="K422" s="9"/>
      <c r="L422" s="9"/>
      <c r="M422" s="12"/>
      <c r="N422" s="12"/>
      <c r="O422" s="9"/>
      <c r="P422" s="9"/>
      <c r="Q422" s="10"/>
      <c r="R422" s="9"/>
      <c r="S422" s="9"/>
      <c r="T422" s="10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16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</row>
    <row r="423" ht="15.0" customHeight="1">
      <c r="A423" s="9"/>
      <c r="B423" s="22" t="s">
        <v>1040</v>
      </c>
      <c r="C423" s="24">
        <v>57.379</v>
      </c>
      <c r="D423" s="16"/>
      <c r="E423" s="10"/>
      <c r="F423" s="16"/>
      <c r="G423" s="16"/>
      <c r="H423" s="9"/>
      <c r="I423" s="10"/>
      <c r="J423" s="9"/>
      <c r="K423" s="9"/>
      <c r="L423" s="9"/>
      <c r="M423" s="12"/>
      <c r="N423" s="12"/>
      <c r="O423" s="9"/>
      <c r="P423" s="9"/>
      <c r="Q423" s="10"/>
      <c r="R423" s="9"/>
      <c r="S423" s="9"/>
      <c r="T423" s="10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16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</row>
    <row r="424" ht="15.0" customHeight="1">
      <c r="A424" s="9"/>
      <c r="B424" s="22" t="s">
        <v>1041</v>
      </c>
      <c r="C424" s="24">
        <v>62.082</v>
      </c>
      <c r="D424" s="16"/>
      <c r="E424" s="10"/>
      <c r="F424" s="16"/>
      <c r="G424" s="16"/>
      <c r="H424" s="9"/>
      <c r="I424" s="10"/>
      <c r="J424" s="9"/>
      <c r="K424" s="9"/>
      <c r="L424" s="9"/>
      <c r="M424" s="12"/>
      <c r="N424" s="12"/>
      <c r="O424" s="9"/>
      <c r="P424" s="9"/>
      <c r="Q424" s="10"/>
      <c r="R424" s="9"/>
      <c r="S424" s="9"/>
      <c r="T424" s="10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16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</row>
    <row r="425" ht="15.0" customHeight="1">
      <c r="A425" s="9"/>
      <c r="B425" s="22" t="s">
        <v>1042</v>
      </c>
      <c r="C425" s="24">
        <v>66.78899999999999</v>
      </c>
      <c r="D425" s="16"/>
      <c r="E425" s="10"/>
      <c r="F425" s="16"/>
      <c r="G425" s="16"/>
      <c r="H425" s="9"/>
      <c r="I425" s="10"/>
      <c r="J425" s="9"/>
      <c r="K425" s="9"/>
      <c r="L425" s="9"/>
      <c r="M425" s="12"/>
      <c r="N425" s="12"/>
      <c r="O425" s="9"/>
      <c r="P425" s="9"/>
      <c r="Q425" s="10"/>
      <c r="R425" s="9"/>
      <c r="S425" s="9"/>
      <c r="T425" s="10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16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</row>
    <row r="426" ht="15.0" customHeight="1">
      <c r="A426" s="9"/>
      <c r="B426" s="22" t="s">
        <v>1043</v>
      </c>
      <c r="C426" s="24">
        <v>71.48899999999999</v>
      </c>
      <c r="D426" s="16"/>
      <c r="E426" s="10"/>
      <c r="F426" s="16"/>
      <c r="G426" s="16"/>
      <c r="H426" s="9"/>
      <c r="I426" s="10"/>
      <c r="J426" s="9"/>
      <c r="K426" s="9"/>
      <c r="L426" s="9"/>
      <c r="M426" s="12"/>
      <c r="N426" s="12"/>
      <c r="O426" s="9"/>
      <c r="P426" s="9"/>
      <c r="Q426" s="10"/>
      <c r="R426" s="9"/>
      <c r="S426" s="9"/>
      <c r="T426" s="10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16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</row>
    <row r="427" ht="15.0" customHeight="1">
      <c r="A427" s="9"/>
      <c r="B427" s="22" t="s">
        <v>1044</v>
      </c>
      <c r="C427" s="24">
        <v>76.193</v>
      </c>
      <c r="D427" s="16"/>
      <c r="E427" s="10"/>
      <c r="F427" s="16"/>
      <c r="G427" s="16"/>
      <c r="H427" s="9"/>
      <c r="I427" s="10"/>
      <c r="J427" s="9"/>
      <c r="K427" s="9"/>
      <c r="L427" s="9"/>
      <c r="M427" s="12"/>
      <c r="N427" s="12"/>
      <c r="O427" s="9"/>
      <c r="P427" s="9"/>
      <c r="Q427" s="10"/>
      <c r="R427" s="9"/>
      <c r="S427" s="9"/>
      <c r="T427" s="10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16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</row>
    <row r="428" ht="15.0" customHeight="1">
      <c r="A428" s="9"/>
      <c r="B428" s="22" t="s">
        <v>177</v>
      </c>
      <c r="C428" s="24" t="s">
        <v>177</v>
      </c>
      <c r="D428" s="16"/>
      <c r="E428" s="10"/>
      <c r="F428" s="16"/>
      <c r="G428" s="16"/>
      <c r="H428" s="9"/>
      <c r="I428" s="10"/>
      <c r="J428" s="9"/>
      <c r="K428" s="9"/>
      <c r="L428" s="9"/>
      <c r="M428" s="12"/>
      <c r="N428" s="12"/>
      <c r="O428" s="9"/>
      <c r="P428" s="9"/>
      <c r="Q428" s="10"/>
      <c r="R428" s="9"/>
      <c r="S428" s="9"/>
      <c r="T428" s="10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16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</row>
    <row r="429" ht="15.0" customHeight="1">
      <c r="A429" s="9"/>
      <c r="B429" s="22" t="s">
        <v>1045</v>
      </c>
      <c r="C429" s="24">
        <v>16.372</v>
      </c>
      <c r="D429" s="16"/>
      <c r="E429" s="10"/>
      <c r="F429" s="16"/>
      <c r="G429" s="16"/>
      <c r="H429" s="9"/>
      <c r="I429" s="10"/>
      <c r="J429" s="9"/>
      <c r="K429" s="9"/>
      <c r="L429" s="9"/>
      <c r="M429" s="12"/>
      <c r="N429" s="12"/>
      <c r="O429" s="9"/>
      <c r="P429" s="9"/>
      <c r="Q429" s="10"/>
      <c r="R429" s="9"/>
      <c r="S429" s="9"/>
      <c r="T429" s="10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16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</row>
    <row r="430" ht="15.0" customHeight="1">
      <c r="A430" s="9"/>
      <c r="B430" s="22" t="s">
        <v>1046</v>
      </c>
      <c r="C430" s="24">
        <v>23.814</v>
      </c>
      <c r="D430" s="16"/>
      <c r="E430" s="10"/>
      <c r="F430" s="16"/>
      <c r="G430" s="16"/>
      <c r="H430" s="9"/>
      <c r="I430" s="10"/>
      <c r="J430" s="9"/>
      <c r="K430" s="9"/>
      <c r="L430" s="9"/>
      <c r="M430" s="12"/>
      <c r="N430" s="12"/>
      <c r="O430" s="9"/>
      <c r="P430" s="9"/>
      <c r="Q430" s="10"/>
      <c r="R430" s="9"/>
      <c r="S430" s="9"/>
      <c r="T430" s="10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16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</row>
    <row r="431" ht="15.0" customHeight="1">
      <c r="A431" s="9"/>
      <c r="B431" s="22" t="s">
        <v>1047</v>
      </c>
      <c r="C431" s="24">
        <v>29.768</v>
      </c>
      <c r="D431" s="16"/>
      <c r="E431" s="10"/>
      <c r="F431" s="16"/>
      <c r="G431" s="16"/>
      <c r="H431" s="9"/>
      <c r="I431" s="10"/>
      <c r="J431" s="9"/>
      <c r="K431" s="9"/>
      <c r="L431" s="9"/>
      <c r="M431" s="12"/>
      <c r="N431" s="12"/>
      <c r="O431" s="9"/>
      <c r="P431" s="9"/>
      <c r="Q431" s="10"/>
      <c r="R431" s="9"/>
      <c r="S431" s="9"/>
      <c r="T431" s="10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16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</row>
    <row r="432" ht="15.0" customHeight="1">
      <c r="A432" s="9"/>
      <c r="B432" s="22" t="s">
        <v>1048</v>
      </c>
      <c r="C432" s="24">
        <v>36.222</v>
      </c>
      <c r="D432" s="16"/>
      <c r="E432" s="10"/>
      <c r="F432" s="16"/>
      <c r="G432" s="16"/>
      <c r="H432" s="9"/>
      <c r="I432" s="10"/>
      <c r="J432" s="9"/>
      <c r="K432" s="9"/>
      <c r="L432" s="9"/>
      <c r="M432" s="12"/>
      <c r="N432" s="12"/>
      <c r="O432" s="9"/>
      <c r="P432" s="9"/>
      <c r="Q432" s="10"/>
      <c r="R432" s="9"/>
      <c r="S432" s="9"/>
      <c r="T432" s="10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16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</row>
    <row r="433" ht="15.0" customHeight="1">
      <c r="A433" s="9"/>
      <c r="B433" s="22" t="s">
        <v>1049</v>
      </c>
      <c r="C433" s="24">
        <v>54.333</v>
      </c>
      <c r="D433" s="16"/>
      <c r="E433" s="10"/>
      <c r="F433" s="16"/>
      <c r="G433" s="16"/>
      <c r="H433" s="9"/>
      <c r="I433" s="10"/>
      <c r="J433" s="9"/>
      <c r="K433" s="9"/>
      <c r="L433" s="9"/>
      <c r="M433" s="12"/>
      <c r="N433" s="12"/>
      <c r="O433" s="9"/>
      <c r="P433" s="9"/>
      <c r="Q433" s="10"/>
      <c r="R433" s="9"/>
      <c r="S433" s="9"/>
      <c r="T433" s="10"/>
      <c r="U433" s="9"/>
      <c r="V433" s="9"/>
      <c r="W433" s="9"/>
      <c r="X433" s="9"/>
      <c r="Y433" s="9"/>
      <c r="Z433" s="9"/>
      <c r="AA433" s="9"/>
      <c r="AB433" s="9"/>
      <c r="AC433" s="9"/>
      <c r="AD433" s="10"/>
      <c r="AE433" s="16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</row>
    <row r="434" ht="15.0" customHeight="1">
      <c r="A434" s="9"/>
      <c r="B434" s="22" t="s">
        <v>1050</v>
      </c>
      <c r="C434" s="24">
        <v>47.629</v>
      </c>
      <c r="D434" s="16"/>
      <c r="E434" s="10"/>
      <c r="F434" s="16"/>
      <c r="G434" s="16"/>
      <c r="H434" s="9"/>
      <c r="I434" s="10"/>
      <c r="J434" s="9"/>
      <c r="K434" s="9"/>
      <c r="L434" s="9"/>
      <c r="M434" s="12"/>
      <c r="N434" s="12"/>
      <c r="O434" s="9"/>
      <c r="P434" s="9"/>
      <c r="Q434" s="10"/>
      <c r="R434" s="9"/>
      <c r="S434" s="9"/>
      <c r="T434" s="10"/>
      <c r="U434" s="9"/>
      <c r="V434" s="9"/>
      <c r="W434" s="9"/>
      <c r="X434" s="9"/>
      <c r="Y434" s="9"/>
      <c r="Z434" s="9"/>
      <c r="AA434" s="9"/>
      <c r="AB434" s="9"/>
      <c r="AC434" s="9"/>
      <c r="AD434" s="10"/>
      <c r="AE434" s="16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</row>
    <row r="435" ht="15.0" customHeight="1">
      <c r="A435" s="9"/>
      <c r="B435" s="22" t="s">
        <v>1051</v>
      </c>
      <c r="C435" s="24">
        <v>49.86</v>
      </c>
      <c r="D435" s="16"/>
      <c r="E435" s="10"/>
      <c r="F435" s="16"/>
      <c r="G435" s="16"/>
      <c r="H435" s="9"/>
      <c r="I435" s="10"/>
      <c r="J435" s="9"/>
      <c r="K435" s="9"/>
      <c r="L435" s="9"/>
      <c r="M435" s="12"/>
      <c r="N435" s="12"/>
      <c r="O435" s="9"/>
      <c r="P435" s="9"/>
      <c r="Q435" s="10"/>
      <c r="R435" s="9"/>
      <c r="S435" s="9"/>
      <c r="T435" s="10"/>
      <c r="U435" s="9"/>
      <c r="V435" s="9"/>
      <c r="W435" s="9"/>
      <c r="X435" s="9"/>
      <c r="Y435" s="9"/>
      <c r="Z435" s="9"/>
      <c r="AA435" s="9"/>
      <c r="AB435" s="9"/>
      <c r="AC435" s="9"/>
      <c r="AD435" s="10"/>
      <c r="AE435" s="16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</row>
    <row r="436" ht="15.0" customHeight="1">
      <c r="A436" s="9"/>
      <c r="B436" s="22" t="s">
        <v>1052</v>
      </c>
      <c r="C436" s="24">
        <v>53.582</v>
      </c>
      <c r="D436" s="16"/>
      <c r="E436" s="10"/>
      <c r="F436" s="16"/>
      <c r="G436" s="16"/>
      <c r="H436" s="9"/>
      <c r="I436" s="10"/>
      <c r="J436" s="9"/>
      <c r="K436" s="9"/>
      <c r="L436" s="9"/>
      <c r="M436" s="12"/>
      <c r="N436" s="12"/>
      <c r="O436" s="9"/>
      <c r="P436" s="9"/>
      <c r="Q436" s="10"/>
      <c r="R436" s="9"/>
      <c r="S436" s="9"/>
      <c r="T436" s="10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16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</row>
    <row r="437" ht="15.0" customHeight="1">
      <c r="A437" s="9"/>
      <c r="B437" s="22" t="s">
        <v>1053</v>
      </c>
      <c r="C437" s="24">
        <v>66.978</v>
      </c>
      <c r="D437" s="16"/>
      <c r="E437" s="10"/>
      <c r="F437" s="16"/>
      <c r="G437" s="16"/>
      <c r="H437" s="9"/>
      <c r="I437" s="10"/>
      <c r="J437" s="9"/>
      <c r="K437" s="9"/>
      <c r="L437" s="9"/>
      <c r="M437" s="12"/>
      <c r="N437" s="12"/>
      <c r="O437" s="9"/>
      <c r="P437" s="9"/>
      <c r="Q437" s="10"/>
      <c r="R437" s="9"/>
      <c r="S437" s="9"/>
      <c r="T437" s="10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16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</row>
    <row r="438" ht="15.0" customHeight="1">
      <c r="A438" s="9"/>
      <c r="B438" s="22" t="s">
        <v>185</v>
      </c>
      <c r="C438" s="24" t="s">
        <v>185</v>
      </c>
      <c r="D438" s="16" t="s">
        <v>13</v>
      </c>
      <c r="E438" s="10"/>
      <c r="F438" s="16"/>
      <c r="G438" s="16"/>
      <c r="H438" s="9"/>
      <c r="I438" s="10"/>
      <c r="J438" s="9"/>
      <c r="K438" s="9"/>
      <c r="L438" s="9"/>
      <c r="M438" s="12"/>
      <c r="N438" s="12"/>
      <c r="O438" s="9"/>
      <c r="P438" s="9"/>
      <c r="Q438" s="10"/>
      <c r="R438" s="9"/>
      <c r="S438" s="9"/>
      <c r="T438" s="10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16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</row>
    <row r="439" ht="15.0" customHeight="1">
      <c r="A439" s="9"/>
      <c r="B439" s="22" t="s">
        <v>1054</v>
      </c>
      <c r="C439" s="24">
        <v>17.191</v>
      </c>
      <c r="D439" s="16"/>
      <c r="E439" s="10"/>
      <c r="F439" s="16"/>
      <c r="G439" s="16"/>
      <c r="H439" s="9"/>
      <c r="I439" s="10"/>
      <c r="J439" s="9"/>
      <c r="K439" s="9"/>
      <c r="L439" s="9"/>
      <c r="M439" s="12"/>
      <c r="N439" s="12"/>
      <c r="O439" s="9"/>
      <c r="P439" s="9"/>
      <c r="Q439" s="10"/>
      <c r="R439" s="9"/>
      <c r="S439" s="9"/>
      <c r="T439" s="10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16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</row>
    <row r="440" ht="15.0" customHeight="1">
      <c r="A440" s="9"/>
      <c r="B440" s="22" t="s">
        <v>1055</v>
      </c>
      <c r="C440" s="24">
        <v>17.191</v>
      </c>
      <c r="D440" s="16"/>
      <c r="E440" s="10"/>
      <c r="F440" s="16"/>
      <c r="G440" s="16"/>
      <c r="H440" s="9"/>
      <c r="I440" s="10"/>
      <c r="J440" s="9"/>
      <c r="K440" s="9"/>
      <c r="L440" s="9"/>
      <c r="M440" s="12"/>
      <c r="N440" s="12"/>
      <c r="O440" s="9"/>
      <c r="P440" s="9"/>
      <c r="Q440" s="10"/>
      <c r="R440" s="9"/>
      <c r="S440" s="9"/>
      <c r="T440" s="10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16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</row>
    <row r="441" ht="15.0" customHeight="1">
      <c r="A441" s="9"/>
      <c r="B441" s="22" t="s">
        <v>1056</v>
      </c>
      <c r="C441" s="24">
        <v>17.191</v>
      </c>
      <c r="D441" s="16"/>
      <c r="E441" s="10"/>
      <c r="F441" s="16"/>
      <c r="G441" s="16"/>
      <c r="H441" s="9"/>
      <c r="I441" s="10"/>
      <c r="J441" s="9"/>
      <c r="K441" s="9"/>
      <c r="L441" s="9"/>
      <c r="M441" s="12"/>
      <c r="N441" s="12"/>
      <c r="O441" s="9"/>
      <c r="P441" s="9"/>
      <c r="Q441" s="10"/>
      <c r="R441" s="9"/>
      <c r="S441" s="9"/>
      <c r="T441" s="10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16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</row>
    <row r="442" ht="15.0" customHeight="1">
      <c r="A442" s="9"/>
      <c r="B442" s="22" t="s">
        <v>1057</v>
      </c>
      <c r="C442" s="24">
        <v>17.191</v>
      </c>
      <c r="D442" s="16"/>
      <c r="E442" s="10"/>
      <c r="F442" s="16"/>
      <c r="G442" s="16"/>
      <c r="H442" s="9"/>
      <c r="I442" s="10"/>
      <c r="J442" s="9"/>
      <c r="K442" s="9"/>
      <c r="L442" s="9"/>
      <c r="M442" s="12"/>
      <c r="N442" s="12"/>
      <c r="O442" s="9"/>
      <c r="P442" s="9"/>
      <c r="Q442" s="10"/>
      <c r="R442" s="9"/>
      <c r="S442" s="9"/>
      <c r="T442" s="10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16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</row>
    <row r="443" ht="15.0" customHeight="1">
      <c r="A443" s="9"/>
      <c r="B443" s="22" t="s">
        <v>1058</v>
      </c>
      <c r="C443" s="24">
        <v>17.191</v>
      </c>
      <c r="D443" s="16"/>
      <c r="E443" s="10"/>
      <c r="F443" s="16"/>
      <c r="G443" s="16"/>
      <c r="H443" s="9"/>
      <c r="I443" s="10"/>
      <c r="J443" s="9"/>
      <c r="K443" s="9"/>
      <c r="L443" s="9"/>
      <c r="M443" s="12"/>
      <c r="N443" s="12"/>
      <c r="O443" s="9"/>
      <c r="P443" s="9"/>
      <c r="Q443" s="10"/>
      <c r="R443" s="9"/>
      <c r="S443" s="9"/>
      <c r="T443" s="10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16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</row>
    <row r="444" ht="15.0" customHeight="1">
      <c r="A444" s="9"/>
      <c r="B444" s="22" t="s">
        <v>1059</v>
      </c>
      <c r="C444" s="24">
        <v>25.005</v>
      </c>
      <c r="D444" s="16"/>
      <c r="E444" s="10"/>
      <c r="F444" s="16"/>
      <c r="G444" s="16"/>
      <c r="H444" s="9"/>
      <c r="I444" s="10"/>
      <c r="J444" s="9"/>
      <c r="K444" s="9"/>
      <c r="L444" s="9"/>
      <c r="M444" s="12"/>
      <c r="N444" s="12"/>
      <c r="O444" s="9"/>
      <c r="P444" s="9"/>
      <c r="Q444" s="10"/>
      <c r="R444" s="9"/>
      <c r="S444" s="9"/>
      <c r="T444" s="10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16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</row>
    <row r="445" ht="15.0" customHeight="1">
      <c r="A445" s="9"/>
      <c r="B445" s="22" t="s">
        <v>1060</v>
      </c>
      <c r="C445" s="24">
        <v>25.005</v>
      </c>
      <c r="D445" s="16"/>
      <c r="E445" s="10"/>
      <c r="F445" s="16"/>
      <c r="G445" s="16"/>
      <c r="H445" s="9"/>
      <c r="I445" s="10"/>
      <c r="J445" s="9"/>
      <c r="K445" s="9"/>
      <c r="L445" s="9"/>
      <c r="M445" s="12"/>
      <c r="N445" s="12"/>
      <c r="O445" s="9"/>
      <c r="P445" s="9"/>
      <c r="Q445" s="10"/>
      <c r="R445" s="9"/>
      <c r="S445" s="9"/>
      <c r="T445" s="10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16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</row>
    <row r="446" ht="15.0" customHeight="1">
      <c r="A446" s="9"/>
      <c r="B446" s="22" t="s">
        <v>1061</v>
      </c>
      <c r="C446" s="24">
        <v>25.005</v>
      </c>
      <c r="D446" s="16"/>
      <c r="E446" s="10"/>
      <c r="F446" s="16"/>
      <c r="G446" s="16"/>
      <c r="H446" s="9"/>
      <c r="I446" s="10"/>
      <c r="J446" s="9"/>
      <c r="K446" s="9"/>
      <c r="L446" s="9"/>
      <c r="M446" s="12"/>
      <c r="N446" s="12"/>
      <c r="O446" s="9"/>
      <c r="P446" s="9"/>
      <c r="Q446" s="10"/>
      <c r="R446" s="9"/>
      <c r="S446" s="9"/>
      <c r="T446" s="10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16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</row>
    <row r="447" ht="15.0" customHeight="1">
      <c r="A447" s="9"/>
      <c r="B447" s="22" t="s">
        <v>1062</v>
      </c>
      <c r="C447" s="24">
        <v>25.005</v>
      </c>
      <c r="D447" s="16"/>
      <c r="E447" s="10"/>
      <c r="F447" s="16"/>
      <c r="G447" s="16"/>
      <c r="H447" s="9"/>
      <c r="I447" s="10"/>
      <c r="J447" s="9"/>
      <c r="K447" s="9"/>
      <c r="L447" s="9"/>
      <c r="M447" s="12"/>
      <c r="N447" s="12"/>
      <c r="O447" s="9"/>
      <c r="P447" s="9"/>
      <c r="Q447" s="10"/>
      <c r="R447" s="9"/>
      <c r="S447" s="9"/>
      <c r="T447" s="10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16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</row>
    <row r="448" ht="15.0" customHeight="1">
      <c r="A448" s="9"/>
      <c r="B448" s="22" t="s">
        <v>1063</v>
      </c>
      <c r="C448" s="24">
        <v>36.472</v>
      </c>
      <c r="D448" s="16"/>
      <c r="E448" s="10"/>
      <c r="F448" s="16"/>
      <c r="G448" s="16"/>
      <c r="H448" s="9"/>
      <c r="I448" s="10"/>
      <c r="J448" s="9"/>
      <c r="K448" s="9"/>
      <c r="L448" s="9"/>
      <c r="M448" s="12"/>
      <c r="N448" s="12"/>
      <c r="O448" s="9"/>
      <c r="P448" s="9"/>
      <c r="Q448" s="10"/>
      <c r="R448" s="9"/>
      <c r="S448" s="9"/>
      <c r="T448" s="10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16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</row>
    <row r="449" ht="15.0" customHeight="1">
      <c r="A449" s="9"/>
      <c r="B449" s="22" t="s">
        <v>1064</v>
      </c>
      <c r="C449" s="24">
        <v>36.472</v>
      </c>
      <c r="D449" s="16"/>
      <c r="E449" s="10"/>
      <c r="F449" s="16"/>
      <c r="G449" s="16"/>
      <c r="H449" s="9"/>
      <c r="I449" s="10"/>
      <c r="J449" s="9"/>
      <c r="K449" s="9"/>
      <c r="L449" s="9"/>
      <c r="M449" s="12"/>
      <c r="N449" s="12"/>
      <c r="O449" s="9"/>
      <c r="P449" s="9"/>
      <c r="Q449" s="10"/>
      <c r="R449" s="9"/>
      <c r="S449" s="9"/>
      <c r="T449" s="10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16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</row>
    <row r="450" ht="15.0" customHeight="1">
      <c r="A450" s="9"/>
      <c r="B450" s="22" t="s">
        <v>1065</v>
      </c>
      <c r="C450" s="24">
        <v>36.472</v>
      </c>
      <c r="D450" s="16"/>
      <c r="E450" s="10"/>
      <c r="F450" s="16"/>
      <c r="G450" s="16"/>
      <c r="H450" s="9"/>
      <c r="I450" s="10"/>
      <c r="J450" s="9"/>
      <c r="K450" s="9"/>
      <c r="L450" s="9"/>
      <c r="M450" s="12"/>
      <c r="N450" s="12"/>
      <c r="O450" s="9"/>
      <c r="P450" s="9"/>
      <c r="Q450" s="10"/>
      <c r="R450" s="9"/>
      <c r="S450" s="9"/>
      <c r="T450" s="10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16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</row>
    <row r="451" ht="15.0" customHeight="1">
      <c r="A451" s="9"/>
      <c r="B451" s="22" t="s">
        <v>1066</v>
      </c>
      <c r="C451" s="24">
        <v>36.472</v>
      </c>
      <c r="D451" s="16"/>
      <c r="E451" s="10"/>
      <c r="F451" s="16"/>
      <c r="G451" s="16"/>
      <c r="H451" s="9"/>
      <c r="I451" s="10"/>
      <c r="J451" s="9"/>
      <c r="K451" s="9"/>
      <c r="L451" s="9"/>
      <c r="M451" s="12"/>
      <c r="N451" s="12"/>
      <c r="O451" s="9"/>
      <c r="P451" s="9"/>
      <c r="Q451" s="10"/>
      <c r="R451" s="9"/>
      <c r="S451" s="9"/>
      <c r="T451" s="10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16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</row>
    <row r="452" ht="15.0" customHeight="1">
      <c r="A452" s="9"/>
      <c r="B452" s="22" t="s">
        <v>1067</v>
      </c>
      <c r="C452" s="24">
        <v>54.71</v>
      </c>
      <c r="D452" s="16"/>
      <c r="E452" s="10"/>
      <c r="F452" s="16"/>
      <c r="G452" s="16"/>
      <c r="H452" s="9"/>
      <c r="I452" s="10"/>
      <c r="J452" s="9"/>
      <c r="K452" s="9"/>
      <c r="L452" s="9"/>
      <c r="M452" s="12"/>
      <c r="N452" s="12"/>
      <c r="O452" s="9"/>
      <c r="P452" s="9"/>
      <c r="Q452" s="10"/>
      <c r="R452" s="9"/>
      <c r="S452" s="9"/>
      <c r="T452" s="10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16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</row>
    <row r="453" ht="15.0" customHeight="1">
      <c r="A453" s="9"/>
      <c r="B453" s="22" t="s">
        <v>1068</v>
      </c>
      <c r="C453" s="24">
        <v>54.71</v>
      </c>
      <c r="D453" s="16"/>
      <c r="E453" s="10"/>
      <c r="F453" s="16"/>
      <c r="G453" s="16"/>
      <c r="H453" s="9"/>
      <c r="I453" s="10"/>
      <c r="J453" s="9"/>
      <c r="K453" s="9"/>
      <c r="L453" s="9"/>
      <c r="M453" s="12"/>
      <c r="N453" s="12"/>
      <c r="O453" s="9"/>
      <c r="P453" s="9"/>
      <c r="Q453" s="10"/>
      <c r="R453" s="9"/>
      <c r="S453" s="9"/>
      <c r="T453" s="10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16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</row>
    <row r="454" ht="15.0" customHeight="1">
      <c r="A454" s="9"/>
      <c r="B454" s="22" t="s">
        <v>1069</v>
      </c>
      <c r="C454" s="24">
        <v>54.71</v>
      </c>
      <c r="D454" s="16"/>
      <c r="E454" s="10"/>
      <c r="F454" s="16"/>
      <c r="G454" s="16"/>
      <c r="H454" s="9"/>
      <c r="I454" s="10"/>
      <c r="J454" s="9"/>
      <c r="K454" s="9"/>
      <c r="L454" s="9"/>
      <c r="M454" s="12"/>
      <c r="N454" s="12"/>
      <c r="O454" s="9"/>
      <c r="P454" s="9"/>
      <c r="Q454" s="10"/>
      <c r="R454" s="9"/>
      <c r="S454" s="9"/>
      <c r="T454" s="10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16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</row>
    <row r="455" ht="15.0" customHeight="1">
      <c r="A455" s="9"/>
      <c r="B455" s="22" t="s">
        <v>1070</v>
      </c>
      <c r="C455" s="24">
        <v>54.71</v>
      </c>
      <c r="D455" s="16"/>
      <c r="E455" s="10"/>
      <c r="F455" s="16"/>
      <c r="G455" s="16"/>
      <c r="H455" s="9"/>
      <c r="I455" s="10"/>
      <c r="J455" s="9"/>
      <c r="K455" s="9"/>
      <c r="L455" s="9"/>
      <c r="M455" s="12"/>
      <c r="N455" s="12"/>
      <c r="O455" s="9"/>
      <c r="P455" s="9"/>
      <c r="Q455" s="10"/>
      <c r="R455" s="9"/>
      <c r="S455" s="9"/>
      <c r="T455" s="10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16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</row>
    <row r="456" ht="15.0" customHeight="1">
      <c r="A456" s="9"/>
      <c r="B456" s="22" t="s">
        <v>1071</v>
      </c>
      <c r="C456" s="24">
        <v>48.772</v>
      </c>
      <c r="D456" s="16"/>
      <c r="E456" s="10"/>
      <c r="F456" s="16"/>
      <c r="G456" s="16"/>
      <c r="H456" s="9"/>
      <c r="I456" s="10"/>
      <c r="J456" s="9"/>
      <c r="K456" s="9"/>
      <c r="L456" s="9"/>
      <c r="M456" s="12"/>
      <c r="N456" s="12"/>
      <c r="O456" s="9"/>
      <c r="P456" s="9"/>
      <c r="Q456" s="10"/>
      <c r="R456" s="9"/>
      <c r="S456" s="9"/>
      <c r="T456" s="10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16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</row>
    <row r="457" ht="15.0" customHeight="1">
      <c r="A457" s="9"/>
      <c r="B457" s="22" t="s">
        <v>1072</v>
      </c>
      <c r="C457" s="24">
        <v>48.772</v>
      </c>
      <c r="D457" s="16"/>
      <c r="E457" s="10"/>
      <c r="F457" s="16"/>
      <c r="G457" s="16"/>
      <c r="H457" s="9"/>
      <c r="I457" s="10"/>
      <c r="J457" s="9"/>
      <c r="K457" s="9"/>
      <c r="L457" s="9"/>
      <c r="M457" s="12"/>
      <c r="N457" s="12"/>
      <c r="O457" s="9"/>
      <c r="P457" s="9"/>
      <c r="Q457" s="10"/>
      <c r="R457" s="9"/>
      <c r="S457" s="9"/>
      <c r="T457" s="10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16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</row>
    <row r="458" ht="15.0" customHeight="1">
      <c r="A458" s="9"/>
      <c r="B458" s="22" t="s">
        <v>1073</v>
      </c>
      <c r="C458" s="24">
        <v>48.772</v>
      </c>
      <c r="D458" s="16"/>
      <c r="E458" s="10"/>
      <c r="F458" s="16"/>
      <c r="G458" s="16"/>
      <c r="H458" s="9"/>
      <c r="I458" s="10"/>
      <c r="J458" s="9"/>
      <c r="K458" s="9"/>
      <c r="L458" s="9"/>
      <c r="M458" s="12"/>
      <c r="N458" s="12"/>
      <c r="O458" s="9"/>
      <c r="P458" s="9"/>
      <c r="Q458" s="10"/>
      <c r="R458" s="9"/>
      <c r="S458" s="9"/>
      <c r="T458" s="10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16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</row>
    <row r="459" ht="15.0" customHeight="1">
      <c r="A459" s="9"/>
      <c r="B459" s="22" t="s">
        <v>1074</v>
      </c>
      <c r="C459" s="24">
        <v>48.772</v>
      </c>
      <c r="D459" s="16"/>
      <c r="E459" s="10"/>
      <c r="F459" s="16"/>
      <c r="G459" s="16"/>
      <c r="H459" s="9"/>
      <c r="I459" s="10"/>
      <c r="J459" s="9"/>
      <c r="K459" s="9"/>
      <c r="L459" s="9"/>
      <c r="M459" s="12"/>
      <c r="N459" s="12"/>
      <c r="O459" s="9"/>
      <c r="P459" s="9"/>
      <c r="Q459" s="10"/>
      <c r="R459" s="9"/>
      <c r="S459" s="9"/>
      <c r="T459" s="10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16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</row>
    <row r="460" ht="15.0" customHeight="1">
      <c r="A460" s="9"/>
      <c r="B460" s="22" t="s">
        <v>1075</v>
      </c>
      <c r="C460" s="24">
        <v>50.56</v>
      </c>
      <c r="D460" s="16"/>
      <c r="E460" s="10"/>
      <c r="F460" s="16"/>
      <c r="G460" s="16"/>
      <c r="H460" s="9"/>
      <c r="I460" s="10"/>
      <c r="J460" s="9"/>
      <c r="K460" s="9"/>
      <c r="L460" s="9"/>
      <c r="M460" s="12"/>
      <c r="N460" s="12"/>
      <c r="O460" s="9"/>
      <c r="P460" s="9"/>
      <c r="Q460" s="10"/>
      <c r="R460" s="9"/>
      <c r="S460" s="9"/>
      <c r="T460" s="10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16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</row>
    <row r="461" ht="15.0" customHeight="1">
      <c r="A461" s="9"/>
      <c r="B461" s="22" t="s">
        <v>1076</v>
      </c>
      <c r="C461" s="24">
        <v>50.56</v>
      </c>
      <c r="D461" s="16"/>
      <c r="E461" s="10"/>
      <c r="F461" s="16"/>
      <c r="G461" s="16"/>
      <c r="H461" s="9"/>
      <c r="I461" s="10"/>
      <c r="J461" s="9"/>
      <c r="K461" s="9"/>
      <c r="L461" s="9"/>
      <c r="M461" s="12"/>
      <c r="N461" s="12"/>
      <c r="O461" s="9"/>
      <c r="P461" s="9"/>
      <c r="Q461" s="10"/>
      <c r="R461" s="9"/>
      <c r="S461" s="9"/>
      <c r="T461" s="10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16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</row>
    <row r="462" ht="15.0" customHeight="1">
      <c r="A462" s="9"/>
      <c r="B462" s="22" t="s">
        <v>1077</v>
      </c>
      <c r="C462" s="24">
        <v>50.56</v>
      </c>
      <c r="D462" s="16"/>
      <c r="E462" s="10"/>
      <c r="F462" s="16"/>
      <c r="G462" s="16"/>
      <c r="H462" s="9"/>
      <c r="I462" s="10"/>
      <c r="J462" s="9"/>
      <c r="K462" s="9"/>
      <c r="L462" s="9"/>
      <c r="M462" s="12"/>
      <c r="N462" s="12"/>
      <c r="O462" s="9"/>
      <c r="P462" s="9"/>
      <c r="Q462" s="10"/>
      <c r="R462" s="9"/>
      <c r="S462" s="9"/>
      <c r="T462" s="10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16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</row>
    <row r="463" ht="15.0" customHeight="1">
      <c r="A463" s="9"/>
      <c r="B463" s="22" t="s">
        <v>1078</v>
      </c>
      <c r="C463" s="24">
        <v>50.56</v>
      </c>
      <c r="D463" s="16"/>
      <c r="E463" s="10"/>
      <c r="F463" s="16"/>
      <c r="G463" s="16"/>
      <c r="H463" s="9"/>
      <c r="I463" s="10"/>
      <c r="J463" s="9"/>
      <c r="K463" s="9"/>
      <c r="L463" s="9"/>
      <c r="M463" s="12"/>
      <c r="N463" s="12"/>
      <c r="O463" s="9"/>
      <c r="P463" s="9"/>
      <c r="Q463" s="10"/>
      <c r="R463" s="9"/>
      <c r="S463" s="9"/>
      <c r="T463" s="10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16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</row>
    <row r="464" ht="15.0" customHeight="1">
      <c r="A464" s="9"/>
      <c r="B464" s="22" t="s">
        <v>1079</v>
      </c>
      <c r="C464" s="24">
        <v>54.333</v>
      </c>
      <c r="D464" s="16"/>
      <c r="E464" s="10"/>
      <c r="F464" s="16"/>
      <c r="G464" s="16"/>
      <c r="H464" s="9"/>
      <c r="I464" s="10"/>
      <c r="J464" s="9"/>
      <c r="K464" s="9"/>
      <c r="L464" s="9"/>
      <c r="M464" s="12"/>
      <c r="N464" s="12"/>
      <c r="O464" s="9"/>
      <c r="P464" s="9"/>
      <c r="Q464" s="10"/>
      <c r="R464" s="9"/>
      <c r="S464" s="9"/>
      <c r="T464" s="10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16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</row>
    <row r="465" ht="15.0" customHeight="1">
      <c r="A465" s="9"/>
      <c r="B465" s="22" t="s">
        <v>1080</v>
      </c>
      <c r="C465" s="24">
        <v>54.333</v>
      </c>
      <c r="D465" s="16"/>
      <c r="E465" s="10"/>
      <c r="F465" s="16"/>
      <c r="G465" s="16"/>
      <c r="H465" s="9"/>
      <c r="I465" s="10"/>
      <c r="J465" s="9"/>
      <c r="K465" s="9"/>
      <c r="L465" s="9"/>
      <c r="M465" s="12"/>
      <c r="N465" s="12"/>
      <c r="O465" s="9"/>
      <c r="P465" s="9"/>
      <c r="Q465" s="10"/>
      <c r="R465" s="9"/>
      <c r="S465" s="9"/>
      <c r="T465" s="10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16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</row>
    <row r="466" ht="15.0" customHeight="1">
      <c r="A466" s="9"/>
      <c r="B466" s="22" t="s">
        <v>1081</v>
      </c>
      <c r="C466" s="24">
        <v>54.333</v>
      </c>
      <c r="D466" s="16"/>
      <c r="E466" s="10"/>
      <c r="F466" s="16"/>
      <c r="G466" s="16"/>
      <c r="H466" s="9"/>
      <c r="I466" s="10"/>
      <c r="J466" s="9"/>
      <c r="K466" s="9"/>
      <c r="L466" s="9"/>
      <c r="M466" s="12"/>
      <c r="N466" s="12"/>
      <c r="O466" s="9"/>
      <c r="P466" s="9"/>
      <c r="Q466" s="10"/>
      <c r="R466" s="9"/>
      <c r="S466" s="9"/>
      <c r="T466" s="10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16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</row>
    <row r="467" ht="15.0" customHeight="1">
      <c r="A467" s="9"/>
      <c r="B467" s="22" t="s">
        <v>1082</v>
      </c>
      <c r="C467" s="24">
        <v>54.333</v>
      </c>
      <c r="D467" s="16"/>
      <c r="E467" s="10"/>
      <c r="F467" s="16"/>
      <c r="G467" s="16"/>
      <c r="H467" s="9"/>
      <c r="I467" s="10"/>
      <c r="J467" s="9"/>
      <c r="K467" s="9"/>
      <c r="L467" s="9"/>
      <c r="M467" s="12"/>
      <c r="N467" s="12"/>
      <c r="O467" s="9"/>
      <c r="P467" s="9"/>
      <c r="Q467" s="10"/>
      <c r="R467" s="9"/>
      <c r="S467" s="9"/>
      <c r="T467" s="10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16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</row>
    <row r="468" ht="15.0" customHeight="1">
      <c r="A468" s="9"/>
      <c r="B468" s="22" t="s">
        <v>149</v>
      </c>
      <c r="C468" s="24" t="s">
        <v>149</v>
      </c>
      <c r="D468" s="16"/>
      <c r="E468" s="10"/>
      <c r="F468" s="16"/>
      <c r="G468" s="16"/>
      <c r="H468" s="9"/>
      <c r="I468" s="10"/>
      <c r="J468" s="9"/>
      <c r="K468" s="9"/>
      <c r="L468" s="9"/>
      <c r="M468" s="12"/>
      <c r="N468" s="12"/>
      <c r="O468" s="9"/>
      <c r="P468" s="9"/>
      <c r="Q468" s="10"/>
      <c r="R468" s="9"/>
      <c r="S468" s="9"/>
      <c r="T468" s="10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16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</row>
    <row r="469" ht="15.0" customHeight="1">
      <c r="A469" s="9"/>
      <c r="B469" s="22" t="s">
        <v>1083</v>
      </c>
      <c r="C469" s="24">
        <v>5.82</v>
      </c>
      <c r="D469" s="16"/>
      <c r="E469" s="10"/>
      <c r="F469" s="16"/>
      <c r="G469" s="16"/>
      <c r="H469" s="9"/>
      <c r="I469" s="10"/>
      <c r="J469" s="9"/>
      <c r="K469" s="9"/>
      <c r="L469" s="9"/>
      <c r="M469" s="12"/>
      <c r="N469" s="12"/>
      <c r="O469" s="9"/>
      <c r="P469" s="9"/>
      <c r="Q469" s="10"/>
      <c r="R469" s="9"/>
      <c r="S469" s="9"/>
      <c r="T469" s="10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16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</row>
    <row r="470" ht="15.0" customHeight="1">
      <c r="A470" s="9"/>
      <c r="B470" s="22" t="s">
        <v>139</v>
      </c>
      <c r="C470" s="24" t="s">
        <v>139</v>
      </c>
      <c r="D470" s="16"/>
      <c r="E470" s="10"/>
      <c r="F470" s="16"/>
      <c r="G470" s="16"/>
      <c r="H470" s="9"/>
      <c r="I470" s="10"/>
      <c r="J470" s="9"/>
      <c r="K470" s="9"/>
      <c r="L470" s="9"/>
      <c r="M470" s="12"/>
      <c r="N470" s="12"/>
      <c r="O470" s="9"/>
      <c r="P470" s="9"/>
      <c r="Q470" s="10"/>
      <c r="R470" s="9"/>
      <c r="S470" s="9"/>
      <c r="T470" s="10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16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</row>
    <row r="471" ht="15.0" customHeight="1">
      <c r="A471" s="9"/>
      <c r="B471" s="22" t="s">
        <v>1084</v>
      </c>
      <c r="C471" s="24">
        <v>47.153</v>
      </c>
      <c r="D471" s="16"/>
      <c r="E471" s="10"/>
      <c r="F471" s="16"/>
      <c r="G471" s="16"/>
      <c r="H471" s="9"/>
      <c r="I471" s="10"/>
      <c r="J471" s="9"/>
      <c r="K471" s="9"/>
      <c r="L471" s="9"/>
      <c r="M471" s="12"/>
      <c r="N471" s="12"/>
      <c r="O471" s="9"/>
      <c r="P471" s="9"/>
      <c r="Q471" s="10"/>
      <c r="R471" s="9"/>
      <c r="S471" s="9"/>
      <c r="T471" s="10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16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</row>
    <row r="472" ht="15.0" customHeight="1">
      <c r="A472" s="9"/>
      <c r="B472" s="22" t="s">
        <v>160</v>
      </c>
      <c r="C472" s="24" t="s">
        <v>1085</v>
      </c>
      <c r="D472" s="16"/>
      <c r="E472" s="10"/>
      <c r="F472" s="16"/>
      <c r="G472" s="16"/>
      <c r="H472" s="9"/>
      <c r="I472" s="10"/>
      <c r="J472" s="9"/>
      <c r="K472" s="9"/>
      <c r="L472" s="9"/>
      <c r="M472" s="12"/>
      <c r="N472" s="12"/>
      <c r="O472" s="9"/>
      <c r="P472" s="9"/>
      <c r="Q472" s="10"/>
      <c r="R472" s="9"/>
      <c r="S472" s="9"/>
      <c r="T472" s="10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16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</row>
    <row r="473" ht="15.0" customHeight="1">
      <c r="A473" s="9"/>
      <c r="B473" s="22" t="s">
        <v>1086</v>
      </c>
      <c r="C473" s="24">
        <v>48.76</v>
      </c>
      <c r="D473" s="16"/>
      <c r="E473" s="10"/>
      <c r="F473" s="16"/>
      <c r="G473" s="16"/>
      <c r="H473" s="9"/>
      <c r="I473" s="10"/>
      <c r="J473" s="9"/>
      <c r="K473" s="9"/>
      <c r="L473" s="9"/>
      <c r="M473" s="12"/>
      <c r="N473" s="12"/>
      <c r="O473" s="9"/>
      <c r="P473" s="9"/>
      <c r="Q473" s="10"/>
      <c r="R473" s="9"/>
      <c r="S473" s="9"/>
      <c r="T473" s="10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16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</row>
    <row r="474" ht="15.0" customHeight="1">
      <c r="A474" s="9"/>
      <c r="B474" s="22" t="s">
        <v>220</v>
      </c>
      <c r="C474" s="24" t="s">
        <v>1085</v>
      </c>
      <c r="D474" s="16"/>
      <c r="E474" s="10"/>
      <c r="F474" s="16"/>
      <c r="G474" s="16"/>
      <c r="H474" s="9"/>
      <c r="I474" s="10"/>
      <c r="J474" s="9"/>
      <c r="K474" s="9"/>
      <c r="L474" s="9"/>
      <c r="M474" s="12"/>
      <c r="N474" s="12"/>
      <c r="O474" s="9"/>
      <c r="P474" s="9"/>
      <c r="Q474" s="10"/>
      <c r="R474" s="9"/>
      <c r="S474" s="9"/>
      <c r="T474" s="10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16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</row>
    <row r="475" ht="15.0" customHeight="1">
      <c r="A475" s="9"/>
      <c r="B475" s="22" t="s">
        <v>1087</v>
      </c>
      <c r="C475" s="24">
        <v>49.564</v>
      </c>
      <c r="D475" s="16"/>
      <c r="E475" s="10"/>
      <c r="F475" s="16"/>
      <c r="G475" s="16"/>
      <c r="H475" s="9"/>
      <c r="I475" s="10"/>
      <c r="J475" s="9"/>
      <c r="K475" s="9"/>
      <c r="L475" s="9"/>
      <c r="M475" s="12"/>
      <c r="N475" s="12"/>
      <c r="O475" s="9"/>
      <c r="P475" s="9"/>
      <c r="Q475" s="10"/>
      <c r="R475" s="9"/>
      <c r="S475" s="9"/>
      <c r="T475" s="10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16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</row>
    <row r="476" ht="15.0" customHeight="1">
      <c r="A476" s="9"/>
      <c r="B476" s="22" t="s">
        <v>204</v>
      </c>
      <c r="C476" s="24" t="s">
        <v>204</v>
      </c>
      <c r="D476" s="16"/>
      <c r="E476" s="10"/>
      <c r="F476" s="16"/>
      <c r="G476" s="16"/>
      <c r="H476" s="9"/>
      <c r="I476" s="10"/>
      <c r="J476" s="9"/>
      <c r="K476" s="9"/>
      <c r="L476" s="9"/>
      <c r="M476" s="12"/>
      <c r="N476" s="12"/>
      <c r="O476" s="9"/>
      <c r="P476" s="9"/>
      <c r="Q476" s="10"/>
      <c r="R476" s="9"/>
      <c r="S476" s="9"/>
      <c r="T476" s="10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16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</row>
    <row r="477" ht="15.0" customHeight="1">
      <c r="A477" s="9"/>
      <c r="B477" s="22" t="s">
        <v>1088</v>
      </c>
      <c r="C477" s="24">
        <v>47.153</v>
      </c>
      <c r="D477" s="16"/>
      <c r="E477" s="10"/>
      <c r="F477" s="16"/>
      <c r="G477" s="16"/>
      <c r="H477" s="9"/>
      <c r="I477" s="10"/>
      <c r="J477" s="9"/>
      <c r="K477" s="9"/>
      <c r="L477" s="9"/>
      <c r="M477" s="12"/>
      <c r="N477" s="12"/>
      <c r="O477" s="9"/>
      <c r="P477" s="9"/>
      <c r="Q477" s="10"/>
      <c r="R477" s="9"/>
      <c r="S477" s="9"/>
      <c r="T477" s="10"/>
      <c r="U477" s="9"/>
      <c r="V477" s="9"/>
      <c r="W477" s="9"/>
      <c r="X477" s="9"/>
      <c r="Y477" s="9"/>
      <c r="Z477" s="9"/>
      <c r="AA477" s="9"/>
      <c r="AB477" s="9"/>
      <c r="AC477" s="9"/>
      <c r="AD477" s="10"/>
      <c r="AE477" s="16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</row>
  </sheetData>
  <dataValidations>
    <dataValidation type="list" allowBlank="1" showErrorMessage="1" sqref="W14 W16:W17 W19">
      <formula1>PRODUCTS</formula1>
    </dataValidation>
  </dataValidations>
  <printOptions/>
  <pageMargins bottom="0.75" footer="0.0" header="0.0" left="0.7" right="0.7" top="0.75"/>
  <pageSetup paperSize="9" orientation="portrait"/>
  <drawing r:id="rId1"/>
</worksheet>
</file>